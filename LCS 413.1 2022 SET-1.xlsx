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LLA &amp; LCS 1ST SEMESTER RESULTS 2026\"/>
    </mc:Choice>
  </mc:AlternateContent>
  <bookViews>
    <workbookView xWindow="600" yWindow="570" windowWidth="10220" windowHeight="5070"/>
  </bookViews>
  <sheets>
    <sheet name="LLA 304.1 2023 SET" sheetId="1" r:id="rId1"/>
    <sheet name="Sheet2" sheetId="2" r:id="rId2"/>
    <sheet name="Sheet3" sheetId="3" r:id="rId3"/>
  </sheets>
  <definedNames>
    <definedName name="_xlnm.Print_Area" localSheetId="0">'LLA 304.1 2023 SET'!$A$1:$T$44</definedName>
    <definedName name="_xlnm.Print_Area" localSheetId="1">Sheet2!$1:$64</definedName>
    <definedName name="_xlnm.Print_Titles" localSheetId="0">'LLA 304.1 2023 SET'!$1:$8</definedName>
  </definedNames>
  <calcPr calcId="152511" iterateDelta="1E-4"/>
</workbook>
</file>

<file path=xl/calcChain.xml><?xml version="1.0" encoding="utf-8"?>
<calcChain xmlns="http://schemas.openxmlformats.org/spreadsheetml/2006/main">
  <c r="S44" i="1" l="1"/>
  <c r="C44" i="1" s="1"/>
  <c r="D44" i="1" s="1"/>
  <c r="S43" i="1"/>
  <c r="C43" i="1" s="1"/>
  <c r="D43" i="1" s="1"/>
  <c r="S42" i="1"/>
  <c r="C42" i="1" s="1"/>
  <c r="D42" i="1" s="1"/>
  <c r="S41" i="1"/>
  <c r="C41" i="1" s="1"/>
  <c r="D41" i="1" s="1"/>
  <c r="S40" i="1"/>
  <c r="C40" i="1" s="1"/>
  <c r="D40" i="1" s="1"/>
  <c r="S39" i="1"/>
  <c r="C39" i="1" s="1"/>
  <c r="D39" i="1" s="1"/>
  <c r="S38" i="1"/>
  <c r="C38" i="1" s="1"/>
  <c r="D38" i="1" s="1"/>
  <c r="S37" i="1"/>
  <c r="C37" i="1" s="1"/>
  <c r="D37" i="1" s="1"/>
  <c r="S36" i="1"/>
  <c r="C36" i="1" s="1"/>
  <c r="D36" i="1" s="1"/>
  <c r="S35" i="1"/>
  <c r="C35" i="1" s="1"/>
  <c r="D35" i="1" s="1"/>
  <c r="S34" i="1"/>
  <c r="C34" i="1" s="1"/>
  <c r="D34" i="1" s="1"/>
  <c r="S33" i="1"/>
  <c r="C33" i="1" s="1"/>
  <c r="D33" i="1" s="1"/>
  <c r="S32" i="1"/>
  <c r="C32" i="1" s="1"/>
  <c r="D32" i="1" s="1"/>
  <c r="S31" i="1"/>
  <c r="C31" i="1" s="1"/>
  <c r="D31" i="1" s="1"/>
  <c r="S30" i="1"/>
  <c r="C30" i="1" s="1"/>
  <c r="D30" i="1" s="1"/>
  <c r="S29" i="1"/>
  <c r="C29" i="1" s="1"/>
  <c r="D29" i="1" s="1"/>
  <c r="S28" i="1"/>
  <c r="C28" i="1" s="1"/>
  <c r="D28" i="1" s="1"/>
  <c r="S27" i="1"/>
  <c r="C27" i="1" s="1"/>
  <c r="D27" i="1" s="1"/>
  <c r="S26" i="1"/>
  <c r="C26" i="1" s="1"/>
  <c r="D26" i="1" s="1"/>
  <c r="S25" i="1"/>
  <c r="C25" i="1" s="1"/>
  <c r="D25" i="1" s="1"/>
  <c r="S24" i="1"/>
  <c r="C24" i="1" s="1"/>
  <c r="D24" i="1" s="1"/>
  <c r="S23" i="1"/>
  <c r="C23" i="1" s="1"/>
  <c r="D23" i="1" s="1"/>
  <c r="S22" i="1"/>
  <c r="C22" i="1" s="1"/>
  <c r="D22" i="1" s="1"/>
  <c r="S21" i="1"/>
  <c r="C21" i="1" s="1"/>
  <c r="D21" i="1" s="1"/>
  <c r="S20" i="1"/>
  <c r="C20" i="1" s="1"/>
  <c r="D20" i="1" s="1"/>
  <c r="S19" i="1"/>
  <c r="C19" i="1" s="1"/>
  <c r="D19" i="1" s="1"/>
  <c r="S18" i="1"/>
  <c r="C18" i="1" s="1"/>
  <c r="D18" i="1" s="1"/>
  <c r="S17" i="1"/>
  <c r="C17" i="1" s="1"/>
  <c r="D17" i="1" s="1"/>
  <c r="S16" i="1"/>
  <c r="C16" i="1" s="1"/>
  <c r="D16" i="1" s="1"/>
  <c r="S15" i="1"/>
  <c r="C15" i="1" s="1"/>
  <c r="D15" i="1" s="1"/>
  <c r="S14" i="1"/>
  <c r="C14" i="1" s="1"/>
  <c r="D14" i="1" s="1"/>
  <c r="S13" i="1"/>
  <c r="C13" i="1" s="1"/>
  <c r="D13" i="1" s="1"/>
  <c r="S12" i="1"/>
  <c r="C12" i="1" s="1"/>
  <c r="D12" i="1" s="1"/>
  <c r="S11" i="1"/>
  <c r="C11" i="1" s="1"/>
  <c r="D11" i="1" s="1"/>
  <c r="S10" i="1"/>
  <c r="C10" i="1" s="1"/>
  <c r="D10" i="1" s="1"/>
  <c r="S9" i="1"/>
  <c r="C9" i="1" s="1"/>
  <c r="D9" i="1" s="1"/>
  <c r="S64" i="2" l="1"/>
  <c r="C64" i="2" s="1"/>
  <c r="D64" i="2" s="1"/>
  <c r="S63" i="2"/>
  <c r="C63" i="2"/>
  <c r="D63" i="2" s="1"/>
  <c r="S62" i="2"/>
  <c r="C62" i="2" s="1"/>
  <c r="D62" i="2" s="1"/>
  <c r="S61" i="2"/>
  <c r="C61" i="2" s="1"/>
  <c r="D61" i="2" s="1"/>
  <c r="S60" i="2"/>
  <c r="C60" i="2"/>
  <c r="D60" i="2" s="1"/>
  <c r="S59" i="2"/>
  <c r="C59" i="2" s="1"/>
  <c r="D59" i="2" s="1"/>
  <c r="S58" i="2"/>
  <c r="D58" i="2"/>
  <c r="C58" i="2"/>
  <c r="S57" i="2"/>
  <c r="C57" i="2" s="1"/>
  <c r="D57" i="2" s="1"/>
  <c r="S56" i="2"/>
  <c r="C56" i="2" s="1"/>
  <c r="D56" i="2" s="1"/>
  <c r="S55" i="2"/>
  <c r="C55" i="2"/>
  <c r="D55" i="2" s="1"/>
  <c r="S54" i="2"/>
  <c r="C54" i="2" s="1"/>
  <c r="D54" i="2" s="1"/>
  <c r="S53" i="2"/>
  <c r="C53" i="2" s="1"/>
  <c r="D53" i="2" s="1"/>
  <c r="S52" i="2"/>
  <c r="C52" i="2"/>
  <c r="D52" i="2" s="1"/>
  <c r="S51" i="2"/>
  <c r="C51" i="2" s="1"/>
  <c r="D51" i="2" s="1"/>
  <c r="S50" i="2"/>
  <c r="D50" i="2"/>
  <c r="C50" i="2"/>
  <c r="S49" i="2"/>
  <c r="C49" i="2" s="1"/>
  <c r="D49" i="2" s="1"/>
  <c r="S48" i="2"/>
  <c r="C48" i="2" s="1"/>
  <c r="D48" i="2" s="1"/>
  <c r="S47" i="2"/>
  <c r="C47" i="2"/>
  <c r="D47" i="2" s="1"/>
  <c r="S46" i="2"/>
  <c r="C46" i="2" s="1"/>
  <c r="D46" i="2" s="1"/>
  <c r="S45" i="2"/>
  <c r="C45" i="2" s="1"/>
  <c r="D45" i="2" s="1"/>
  <c r="S44" i="2"/>
  <c r="C44" i="2"/>
  <c r="D44" i="2" s="1"/>
  <c r="S43" i="2"/>
  <c r="C43" i="2" s="1"/>
  <c r="D43" i="2" s="1"/>
  <c r="S42" i="2"/>
  <c r="D42" i="2"/>
  <c r="C42" i="2"/>
  <c r="S41" i="2"/>
  <c r="C41" i="2" s="1"/>
  <c r="D41" i="2" s="1"/>
  <c r="S40" i="2"/>
  <c r="C40" i="2" s="1"/>
  <c r="D40" i="2" s="1"/>
  <c r="S39" i="2"/>
  <c r="C39" i="2"/>
  <c r="D39" i="2" s="1"/>
  <c r="S38" i="2"/>
  <c r="C38" i="2" s="1"/>
  <c r="D38" i="2" s="1"/>
  <c r="S37" i="2"/>
  <c r="C37" i="2" s="1"/>
  <c r="D37" i="2" s="1"/>
  <c r="S36" i="2"/>
  <c r="C36" i="2"/>
  <c r="D36" i="2" s="1"/>
  <c r="S35" i="2"/>
  <c r="C35" i="2" s="1"/>
  <c r="D35" i="2" s="1"/>
  <c r="S34" i="2"/>
  <c r="D34" i="2"/>
  <c r="C34" i="2"/>
  <c r="S33" i="2"/>
  <c r="C33" i="2" s="1"/>
  <c r="D33" i="2" s="1"/>
  <c r="S32" i="2"/>
  <c r="C32" i="2" s="1"/>
  <c r="D32" i="2" s="1"/>
  <c r="S31" i="2"/>
  <c r="C31" i="2"/>
  <c r="D31" i="2" s="1"/>
  <c r="S30" i="2"/>
  <c r="C30" i="2" s="1"/>
  <c r="D30" i="2" s="1"/>
  <c r="S29" i="2"/>
  <c r="C29" i="2" s="1"/>
  <c r="D29" i="2" s="1"/>
  <c r="S28" i="2"/>
  <c r="C28" i="2"/>
  <c r="D28" i="2" s="1"/>
  <c r="S27" i="2"/>
  <c r="C27" i="2" s="1"/>
  <c r="D27" i="2" s="1"/>
  <c r="S26" i="2"/>
  <c r="D26" i="2"/>
  <c r="C26" i="2"/>
  <c r="S25" i="2"/>
  <c r="C25" i="2" s="1"/>
  <c r="D25" i="2" s="1"/>
  <c r="S24" i="2"/>
  <c r="C24" i="2" s="1"/>
  <c r="D24" i="2" s="1"/>
  <c r="S23" i="2"/>
  <c r="C23" i="2"/>
  <c r="D23" i="2" s="1"/>
  <c r="S22" i="2"/>
  <c r="C22" i="2" s="1"/>
  <c r="D22" i="2" s="1"/>
  <c r="S21" i="2"/>
  <c r="C21" i="2" s="1"/>
  <c r="D21" i="2" s="1"/>
  <c r="S20" i="2"/>
  <c r="C20" i="2"/>
  <c r="D20" i="2" s="1"/>
  <c r="S19" i="2"/>
  <c r="C19" i="2" s="1"/>
  <c r="D19" i="2" s="1"/>
  <c r="S18" i="2"/>
  <c r="C18" i="2"/>
  <c r="D18" i="2" s="1"/>
  <c r="S17" i="2"/>
  <c r="C17" i="2" s="1"/>
  <c r="D17" i="2" s="1"/>
  <c r="S16" i="2"/>
  <c r="D16" i="2"/>
  <c r="C16" i="2"/>
  <c r="S15" i="2"/>
  <c r="C15" i="2" s="1"/>
  <c r="D15" i="2" s="1"/>
  <c r="S14" i="2"/>
  <c r="C14" i="2" s="1"/>
  <c r="D14" i="2" s="1"/>
  <c r="S13" i="2"/>
  <c r="C13" i="2"/>
  <c r="D13" i="2" s="1"/>
  <c r="S12" i="2"/>
  <c r="C12" i="2" s="1"/>
  <c r="D12" i="2" s="1"/>
  <c r="S11" i="2"/>
  <c r="C11" i="2" s="1"/>
  <c r="D11" i="2" s="1"/>
  <c r="S10" i="2"/>
  <c r="C10" i="2"/>
  <c r="D10" i="2" s="1"/>
  <c r="S9" i="2"/>
  <c r="C9" i="2" s="1"/>
  <c r="D9" i="2" s="1"/>
  <c r="S281" i="1"/>
  <c r="D281" i="1"/>
  <c r="C281" i="1"/>
  <c r="S280" i="1"/>
  <c r="D280" i="1"/>
  <c r="C280" i="1"/>
  <c r="S279" i="1"/>
  <c r="D279" i="1"/>
  <c r="C279" i="1"/>
  <c r="S278" i="1"/>
  <c r="D278" i="1"/>
  <c r="C278" i="1"/>
  <c r="S277" i="1"/>
  <c r="D277" i="1"/>
  <c r="C277" i="1"/>
  <c r="S276" i="1"/>
  <c r="D276" i="1"/>
  <c r="C276" i="1"/>
  <c r="S275" i="1"/>
  <c r="D275" i="1"/>
  <c r="C275" i="1"/>
  <c r="S274" i="1"/>
  <c r="D274" i="1"/>
  <c r="C274" i="1"/>
  <c r="S273" i="1"/>
  <c r="D273" i="1"/>
  <c r="C273" i="1"/>
  <c r="S272" i="1"/>
  <c r="D272" i="1"/>
  <c r="C272" i="1"/>
  <c r="S271" i="1"/>
  <c r="D271" i="1"/>
  <c r="C271" i="1"/>
  <c r="S270" i="1"/>
  <c r="D270" i="1"/>
  <c r="C270" i="1"/>
  <c r="S269" i="1"/>
  <c r="D269" i="1"/>
  <c r="C269" i="1"/>
  <c r="S268" i="1"/>
  <c r="D268" i="1"/>
  <c r="C268" i="1"/>
  <c r="S267" i="1"/>
  <c r="D267" i="1"/>
  <c r="C267" i="1"/>
  <c r="S266" i="1"/>
  <c r="D266" i="1"/>
  <c r="C266" i="1"/>
  <c r="S265" i="1"/>
  <c r="D265" i="1"/>
  <c r="C265" i="1"/>
  <c r="S264" i="1"/>
  <c r="D264" i="1"/>
  <c r="C264" i="1"/>
  <c r="S263" i="1"/>
  <c r="D263" i="1"/>
  <c r="C263" i="1"/>
  <c r="S262" i="1"/>
  <c r="D262" i="1"/>
  <c r="C262" i="1"/>
  <c r="S261" i="1"/>
  <c r="D261" i="1"/>
  <c r="C261" i="1"/>
  <c r="S260" i="1"/>
  <c r="D260" i="1"/>
  <c r="C260" i="1"/>
  <c r="S259" i="1"/>
  <c r="D259" i="1"/>
  <c r="C259" i="1"/>
  <c r="S258" i="1"/>
  <c r="D258" i="1"/>
  <c r="C258" i="1"/>
  <c r="S257" i="1"/>
  <c r="D257" i="1"/>
  <c r="C257" i="1"/>
  <c r="S256" i="1"/>
  <c r="D256" i="1"/>
  <c r="C256" i="1"/>
  <c r="S255" i="1"/>
  <c r="D255" i="1"/>
  <c r="C255" i="1"/>
  <c r="S254" i="1"/>
  <c r="D254" i="1"/>
  <c r="C254" i="1"/>
  <c r="S253" i="1"/>
  <c r="D253" i="1"/>
  <c r="C253" i="1"/>
  <c r="S252" i="1"/>
  <c r="D252" i="1"/>
  <c r="C252" i="1"/>
  <c r="S251" i="1"/>
  <c r="D251" i="1"/>
  <c r="C251" i="1"/>
  <c r="S250" i="1"/>
  <c r="D250" i="1"/>
  <c r="C250" i="1"/>
  <c r="S249" i="1"/>
  <c r="D249" i="1"/>
  <c r="C249" i="1"/>
  <c r="S248" i="1"/>
  <c r="D248" i="1"/>
  <c r="C248" i="1"/>
  <c r="S247" i="1"/>
  <c r="D247" i="1"/>
  <c r="C247" i="1"/>
  <c r="S246" i="1"/>
  <c r="D246" i="1"/>
  <c r="C246" i="1"/>
  <c r="S245" i="1"/>
  <c r="D245" i="1"/>
  <c r="C245" i="1"/>
  <c r="S244" i="1"/>
  <c r="D244" i="1"/>
  <c r="C244" i="1"/>
  <c r="S243" i="1"/>
  <c r="D243" i="1"/>
  <c r="C243" i="1"/>
  <c r="S242" i="1"/>
  <c r="D242" i="1"/>
  <c r="C242" i="1"/>
  <c r="S241" i="1"/>
  <c r="D241" i="1"/>
  <c r="C241" i="1"/>
  <c r="S240" i="1"/>
  <c r="D240" i="1"/>
  <c r="C240" i="1"/>
  <c r="S239" i="1"/>
  <c r="D239" i="1"/>
  <c r="C239" i="1"/>
  <c r="S238" i="1"/>
  <c r="D238" i="1"/>
  <c r="C238" i="1"/>
  <c r="S237" i="1"/>
  <c r="D237" i="1"/>
  <c r="C237" i="1"/>
  <c r="S236" i="1"/>
  <c r="D236" i="1"/>
  <c r="C236" i="1"/>
  <c r="S235" i="1"/>
  <c r="D235" i="1"/>
  <c r="C235" i="1"/>
  <c r="S234" i="1"/>
  <c r="D234" i="1"/>
  <c r="C234" i="1"/>
  <c r="S233" i="1"/>
  <c r="D233" i="1"/>
  <c r="C233" i="1"/>
  <c r="S232" i="1"/>
  <c r="D232" i="1"/>
  <c r="C232" i="1"/>
  <c r="S231" i="1"/>
  <c r="D231" i="1"/>
  <c r="C231" i="1"/>
  <c r="S230" i="1"/>
  <c r="D230" i="1"/>
  <c r="C230" i="1"/>
  <c r="S229" i="1"/>
  <c r="D229" i="1"/>
  <c r="C229" i="1"/>
  <c r="S228" i="1"/>
  <c r="D228" i="1"/>
  <c r="C228" i="1"/>
  <c r="S227" i="1"/>
  <c r="D227" i="1"/>
  <c r="C227" i="1"/>
  <c r="S226" i="1"/>
  <c r="D226" i="1"/>
  <c r="C226" i="1"/>
  <c r="S225" i="1"/>
  <c r="D225" i="1"/>
  <c r="C225" i="1"/>
  <c r="S224" i="1"/>
  <c r="D224" i="1"/>
  <c r="C224" i="1"/>
  <c r="S223" i="1"/>
  <c r="D223" i="1"/>
  <c r="C223" i="1"/>
  <c r="S222" i="1"/>
  <c r="D222" i="1"/>
  <c r="C222" i="1"/>
  <c r="S221" i="1"/>
  <c r="D221" i="1"/>
  <c r="C221" i="1"/>
  <c r="S220" i="1"/>
  <c r="D220" i="1"/>
  <c r="C220" i="1"/>
  <c r="S219" i="1"/>
  <c r="D219" i="1"/>
  <c r="C219" i="1"/>
  <c r="S218" i="1"/>
  <c r="D218" i="1"/>
  <c r="C218" i="1"/>
  <c r="S217" i="1"/>
  <c r="D217" i="1"/>
  <c r="C217" i="1"/>
  <c r="S216" i="1"/>
  <c r="D216" i="1"/>
  <c r="C216" i="1"/>
  <c r="S215" i="1"/>
  <c r="D215" i="1"/>
  <c r="C215" i="1"/>
  <c r="S214" i="1"/>
  <c r="D214" i="1"/>
  <c r="C214" i="1"/>
  <c r="S213" i="1"/>
  <c r="D213" i="1"/>
  <c r="C213" i="1"/>
  <c r="S212" i="1"/>
  <c r="D212" i="1"/>
  <c r="C212" i="1"/>
  <c r="S211" i="1"/>
  <c r="D211" i="1"/>
  <c r="C211" i="1"/>
  <c r="S210" i="1"/>
  <c r="D210" i="1"/>
  <c r="C210" i="1"/>
  <c r="S209" i="1"/>
  <c r="D209" i="1"/>
  <c r="C209" i="1"/>
  <c r="S208" i="1"/>
  <c r="D208" i="1"/>
  <c r="C208" i="1"/>
  <c r="S207" i="1"/>
  <c r="D207" i="1"/>
  <c r="C207" i="1"/>
  <c r="S206" i="1"/>
  <c r="D206" i="1"/>
  <c r="C206" i="1"/>
  <c r="S205" i="1"/>
  <c r="D205" i="1"/>
  <c r="C205" i="1"/>
  <c r="S204" i="1"/>
  <c r="D204" i="1"/>
  <c r="C204" i="1"/>
  <c r="S203" i="1"/>
  <c r="D203" i="1"/>
  <c r="C203" i="1"/>
  <c r="S202" i="1"/>
  <c r="D202" i="1"/>
  <c r="C202" i="1"/>
  <c r="S201" i="1"/>
  <c r="D201" i="1"/>
  <c r="C201" i="1"/>
  <c r="S200" i="1"/>
  <c r="D200" i="1"/>
  <c r="C200" i="1"/>
  <c r="S199" i="1"/>
  <c r="D199" i="1"/>
  <c r="C199" i="1"/>
  <c r="S198" i="1"/>
  <c r="D198" i="1"/>
  <c r="C198" i="1"/>
  <c r="S197" i="1"/>
  <c r="D197" i="1"/>
  <c r="C197" i="1"/>
  <c r="S196" i="1"/>
  <c r="D196" i="1"/>
  <c r="C196" i="1"/>
  <c r="S195" i="1"/>
  <c r="D195" i="1"/>
  <c r="C195" i="1"/>
  <c r="S194" i="1"/>
  <c r="D194" i="1"/>
  <c r="C194" i="1"/>
  <c r="S193" i="1"/>
  <c r="D193" i="1"/>
  <c r="C193" i="1"/>
  <c r="S192" i="1"/>
  <c r="D192" i="1"/>
  <c r="C192" i="1"/>
  <c r="S191" i="1"/>
  <c r="D191" i="1"/>
  <c r="C191" i="1"/>
  <c r="S190" i="1"/>
  <c r="D190" i="1"/>
  <c r="C190" i="1"/>
  <c r="S189" i="1"/>
  <c r="D189" i="1"/>
  <c r="C189" i="1"/>
  <c r="S188" i="1"/>
  <c r="D188" i="1"/>
  <c r="C188" i="1"/>
  <c r="S187" i="1"/>
  <c r="D187" i="1"/>
  <c r="C187" i="1"/>
  <c r="S186" i="1"/>
  <c r="D186" i="1"/>
  <c r="C186" i="1"/>
  <c r="S185" i="1"/>
  <c r="D185" i="1"/>
  <c r="C185" i="1"/>
  <c r="S184" i="1"/>
  <c r="D184" i="1"/>
  <c r="C184" i="1"/>
  <c r="S183" i="1"/>
  <c r="D183" i="1"/>
  <c r="C183" i="1"/>
  <c r="S182" i="1"/>
  <c r="D182" i="1"/>
  <c r="C182" i="1"/>
  <c r="S181" i="1"/>
  <c r="D181" i="1"/>
  <c r="C181" i="1"/>
  <c r="S180" i="1"/>
  <c r="D180" i="1"/>
  <c r="C180" i="1"/>
  <c r="S179" i="1"/>
  <c r="D179" i="1"/>
  <c r="C179" i="1"/>
  <c r="S178" i="1"/>
  <c r="D178" i="1"/>
  <c r="C178" i="1"/>
  <c r="S177" i="1"/>
  <c r="D177" i="1"/>
  <c r="C177" i="1"/>
  <c r="S176" i="1"/>
  <c r="D176" i="1"/>
  <c r="C176" i="1"/>
  <c r="S175" i="1"/>
  <c r="D175" i="1"/>
  <c r="C175" i="1"/>
  <c r="S174" i="1"/>
  <c r="D174" i="1"/>
  <c r="C174" i="1"/>
  <c r="S173" i="1"/>
  <c r="D173" i="1"/>
  <c r="C173" i="1"/>
  <c r="S172" i="1"/>
  <c r="D172" i="1"/>
  <c r="C172" i="1"/>
  <c r="S171" i="1"/>
  <c r="D171" i="1"/>
  <c r="C171" i="1"/>
  <c r="S170" i="1"/>
  <c r="D170" i="1"/>
  <c r="C170" i="1"/>
  <c r="S169" i="1"/>
  <c r="D169" i="1"/>
  <c r="C169" i="1"/>
  <c r="S168" i="1"/>
  <c r="D168" i="1"/>
  <c r="C168" i="1"/>
  <c r="S167" i="1"/>
  <c r="D167" i="1"/>
  <c r="C167" i="1"/>
  <c r="S166" i="1"/>
  <c r="D166" i="1"/>
  <c r="C166" i="1"/>
  <c r="S165" i="1"/>
  <c r="D165" i="1"/>
  <c r="C165" i="1"/>
  <c r="S164" i="1"/>
  <c r="D164" i="1"/>
  <c r="C164" i="1"/>
  <c r="S163" i="1"/>
  <c r="D163" i="1"/>
  <c r="C163" i="1"/>
  <c r="S162" i="1"/>
  <c r="D162" i="1"/>
  <c r="C162" i="1"/>
  <c r="S161" i="1"/>
  <c r="D161" i="1"/>
  <c r="C161" i="1"/>
  <c r="S160" i="1"/>
  <c r="D160" i="1"/>
  <c r="C160" i="1"/>
  <c r="S159" i="1"/>
  <c r="D159" i="1"/>
  <c r="C159" i="1"/>
  <c r="S158" i="1"/>
  <c r="D158" i="1"/>
  <c r="C158" i="1"/>
  <c r="S157" i="1"/>
  <c r="D157" i="1"/>
  <c r="C157" i="1"/>
  <c r="S156" i="1"/>
  <c r="D156" i="1"/>
  <c r="C156" i="1"/>
  <c r="S155" i="1"/>
  <c r="D155" i="1"/>
  <c r="C155" i="1"/>
  <c r="S154" i="1"/>
  <c r="D154" i="1"/>
  <c r="C154" i="1"/>
  <c r="S153" i="1"/>
  <c r="D153" i="1"/>
  <c r="C153" i="1"/>
  <c r="S152" i="1"/>
  <c r="D152" i="1"/>
  <c r="C152" i="1"/>
  <c r="S151" i="1"/>
  <c r="D151" i="1"/>
  <c r="C151" i="1"/>
  <c r="S150" i="1"/>
  <c r="D150" i="1"/>
  <c r="C150" i="1"/>
  <c r="S149" i="1"/>
  <c r="D149" i="1"/>
  <c r="C149" i="1"/>
  <c r="S148" i="1"/>
  <c r="D148" i="1"/>
  <c r="C148" i="1"/>
  <c r="S147" i="1"/>
  <c r="D147" i="1"/>
  <c r="C147" i="1"/>
  <c r="S146" i="1"/>
  <c r="D146" i="1"/>
  <c r="C146" i="1"/>
  <c r="S145" i="1"/>
  <c r="D145" i="1"/>
  <c r="C145" i="1"/>
  <c r="S144" i="1"/>
  <c r="D144" i="1"/>
  <c r="C144" i="1"/>
  <c r="S143" i="1"/>
  <c r="D143" i="1"/>
  <c r="C143" i="1"/>
  <c r="S142" i="1"/>
  <c r="D142" i="1"/>
  <c r="C142" i="1"/>
  <c r="S141" i="1"/>
  <c r="D141" i="1"/>
  <c r="C141" i="1"/>
  <c r="S140" i="1"/>
  <c r="D140" i="1"/>
  <c r="C140" i="1"/>
  <c r="S139" i="1"/>
  <c r="D139" i="1"/>
  <c r="C139" i="1"/>
  <c r="S138" i="1"/>
  <c r="D138" i="1"/>
  <c r="C138" i="1"/>
  <c r="S137" i="1"/>
  <c r="D137" i="1"/>
  <c r="C137" i="1"/>
  <c r="S136" i="1"/>
  <c r="D136" i="1"/>
  <c r="C136" i="1"/>
  <c r="S135" i="1"/>
  <c r="D135" i="1"/>
  <c r="C135" i="1"/>
  <c r="S134" i="1"/>
  <c r="D134" i="1"/>
  <c r="C134" i="1"/>
  <c r="S133" i="1"/>
  <c r="D133" i="1"/>
  <c r="C133" i="1"/>
  <c r="S132" i="1"/>
  <c r="D132" i="1"/>
  <c r="C132" i="1"/>
  <c r="S131" i="1"/>
  <c r="D131" i="1"/>
  <c r="C131" i="1"/>
  <c r="S130" i="1"/>
  <c r="D130" i="1"/>
  <c r="C130" i="1"/>
  <c r="S129" i="1"/>
  <c r="D129" i="1"/>
  <c r="C129" i="1"/>
  <c r="S128" i="1"/>
  <c r="D128" i="1"/>
  <c r="C128" i="1"/>
  <c r="S127" i="1"/>
  <c r="D127" i="1"/>
  <c r="C127" i="1"/>
  <c r="S126" i="1"/>
  <c r="D126" i="1"/>
  <c r="C126" i="1"/>
  <c r="S125" i="1"/>
  <c r="D125" i="1"/>
  <c r="C125" i="1"/>
  <c r="S124" i="1"/>
  <c r="D124" i="1"/>
  <c r="C124" i="1"/>
  <c r="S123" i="1"/>
  <c r="D123" i="1"/>
  <c r="C123" i="1"/>
  <c r="S122" i="1"/>
  <c r="D122" i="1"/>
  <c r="C122" i="1"/>
  <c r="S121" i="1"/>
  <c r="D121" i="1"/>
  <c r="C121" i="1"/>
  <c r="S120" i="1"/>
  <c r="D120" i="1"/>
  <c r="C120" i="1"/>
  <c r="S119" i="1"/>
  <c r="D119" i="1"/>
  <c r="C119" i="1"/>
  <c r="S118" i="1"/>
  <c r="D118" i="1"/>
  <c r="C118" i="1"/>
  <c r="S117" i="1"/>
  <c r="D117" i="1"/>
  <c r="C117" i="1"/>
  <c r="S116" i="1"/>
  <c r="D116" i="1"/>
  <c r="C116" i="1"/>
  <c r="S115" i="1"/>
  <c r="D115" i="1"/>
  <c r="C115" i="1"/>
  <c r="S114" i="1"/>
  <c r="D114" i="1"/>
  <c r="C114" i="1"/>
  <c r="S113" i="1"/>
  <c r="D113" i="1"/>
  <c r="C113" i="1"/>
  <c r="S112" i="1"/>
  <c r="D112" i="1"/>
  <c r="C112" i="1"/>
  <c r="S111" i="1"/>
  <c r="D111" i="1"/>
  <c r="C111" i="1"/>
  <c r="S110" i="1"/>
  <c r="D110" i="1"/>
  <c r="C110" i="1"/>
  <c r="S109" i="1"/>
  <c r="D109" i="1"/>
  <c r="C109" i="1"/>
  <c r="S108" i="1"/>
  <c r="D108" i="1"/>
  <c r="C108" i="1"/>
  <c r="S107" i="1"/>
  <c r="D107" i="1"/>
  <c r="C107" i="1"/>
  <c r="S106" i="1"/>
  <c r="D106" i="1"/>
  <c r="C106" i="1"/>
  <c r="S105" i="1"/>
  <c r="D105" i="1"/>
  <c r="C105" i="1"/>
  <c r="S104" i="1"/>
  <c r="D104" i="1"/>
  <c r="C104" i="1"/>
  <c r="S103" i="1"/>
  <c r="D103" i="1"/>
  <c r="C103" i="1"/>
  <c r="S102" i="1"/>
  <c r="D102" i="1"/>
  <c r="C102" i="1"/>
  <c r="S101" i="1"/>
  <c r="D101" i="1"/>
  <c r="C101" i="1"/>
  <c r="S100" i="1"/>
  <c r="D100" i="1"/>
  <c r="C100" i="1"/>
  <c r="S99" i="1"/>
  <c r="D99" i="1"/>
  <c r="C99" i="1"/>
  <c r="S98" i="1"/>
  <c r="D98" i="1"/>
  <c r="C98" i="1"/>
  <c r="S97" i="1"/>
  <c r="D97" i="1"/>
  <c r="C97" i="1"/>
  <c r="S96" i="1"/>
  <c r="D96" i="1"/>
  <c r="C96" i="1"/>
  <c r="S95" i="1"/>
  <c r="D95" i="1"/>
  <c r="C95" i="1"/>
  <c r="S94" i="1"/>
  <c r="D94" i="1"/>
  <c r="C94" i="1"/>
  <c r="S93" i="1"/>
  <c r="D93" i="1"/>
  <c r="C93" i="1"/>
  <c r="S92" i="1"/>
  <c r="D92" i="1"/>
  <c r="C92" i="1"/>
  <c r="S91" i="1"/>
  <c r="D91" i="1"/>
  <c r="C91" i="1"/>
  <c r="S90" i="1"/>
  <c r="D90" i="1"/>
  <c r="C90" i="1"/>
  <c r="S89" i="1"/>
  <c r="D89" i="1"/>
  <c r="C89" i="1"/>
  <c r="S88" i="1"/>
  <c r="D88" i="1"/>
  <c r="C88" i="1"/>
  <c r="S87" i="1"/>
  <c r="D87" i="1"/>
  <c r="C87" i="1"/>
  <c r="S86" i="1"/>
  <c r="D86" i="1"/>
  <c r="C86" i="1"/>
  <c r="S85" i="1"/>
  <c r="D85" i="1"/>
  <c r="C85" i="1"/>
  <c r="S84" i="1"/>
  <c r="D84" i="1"/>
  <c r="C84" i="1"/>
  <c r="S83" i="1"/>
  <c r="D83" i="1"/>
  <c r="C83" i="1"/>
  <c r="S82" i="1"/>
  <c r="D82" i="1"/>
  <c r="C82" i="1"/>
  <c r="S81" i="1"/>
  <c r="D81" i="1"/>
  <c r="C81" i="1"/>
  <c r="S80" i="1"/>
  <c r="D80" i="1"/>
  <c r="C80" i="1"/>
  <c r="S79" i="1"/>
  <c r="D79" i="1"/>
  <c r="C79" i="1"/>
  <c r="S78" i="1"/>
  <c r="D78" i="1"/>
  <c r="C78" i="1"/>
  <c r="S77" i="1"/>
  <c r="D77" i="1"/>
  <c r="C77" i="1"/>
  <c r="S76" i="1"/>
  <c r="D76" i="1"/>
  <c r="C76" i="1"/>
  <c r="S75" i="1"/>
  <c r="D75" i="1"/>
  <c r="C75" i="1"/>
  <c r="S74" i="1"/>
  <c r="D74" i="1"/>
  <c r="C74" i="1"/>
  <c r="S73" i="1"/>
  <c r="D73" i="1"/>
  <c r="C73" i="1"/>
  <c r="S72" i="1"/>
  <c r="D72" i="1"/>
  <c r="C72" i="1"/>
  <c r="S71" i="1"/>
  <c r="D71" i="1"/>
  <c r="C71" i="1"/>
  <c r="S70" i="1"/>
  <c r="D70" i="1"/>
  <c r="C70" i="1"/>
  <c r="S69" i="1"/>
  <c r="D69" i="1"/>
  <c r="C69" i="1"/>
  <c r="S68" i="1"/>
  <c r="D68" i="1"/>
  <c r="C68" i="1"/>
  <c r="S67" i="1"/>
  <c r="D67" i="1"/>
  <c r="C67" i="1"/>
  <c r="S66" i="1"/>
  <c r="D66" i="1"/>
  <c r="C66" i="1"/>
  <c r="S65" i="1"/>
  <c r="D65" i="1"/>
  <c r="C65" i="1"/>
  <c r="S64" i="1"/>
  <c r="D64" i="1"/>
  <c r="C64" i="1"/>
  <c r="S63" i="1"/>
  <c r="D63" i="1"/>
  <c r="C63" i="1"/>
  <c r="S62" i="1"/>
  <c r="D62" i="1"/>
  <c r="C62" i="1"/>
  <c r="S61" i="1"/>
  <c r="D61" i="1"/>
  <c r="C61" i="1"/>
  <c r="S60" i="1"/>
  <c r="D60" i="1"/>
  <c r="C60" i="1"/>
  <c r="S59" i="1"/>
  <c r="D59" i="1"/>
  <c r="C59" i="1"/>
  <c r="S58" i="1"/>
  <c r="D58" i="1"/>
  <c r="C58" i="1"/>
  <c r="S57" i="1"/>
  <c r="D57" i="1"/>
  <c r="C57" i="1"/>
  <c r="S56" i="1"/>
  <c r="D56" i="1"/>
  <c r="C56" i="1"/>
  <c r="S55" i="1"/>
  <c r="D55" i="1"/>
  <c r="C55" i="1"/>
  <c r="S54" i="1"/>
  <c r="D54" i="1"/>
  <c r="C54" i="1"/>
  <c r="S53" i="1"/>
  <c r="D53" i="1"/>
  <c r="C53" i="1"/>
  <c r="S52" i="1"/>
  <c r="D52" i="1"/>
  <c r="C52" i="1"/>
  <c r="S51" i="1"/>
  <c r="D51" i="1"/>
  <c r="C51" i="1"/>
  <c r="S50" i="1"/>
  <c r="D50" i="1"/>
  <c r="C50" i="1"/>
  <c r="S49" i="1"/>
  <c r="D49" i="1"/>
  <c r="C49" i="1"/>
  <c r="S48" i="1"/>
  <c r="D48" i="1"/>
  <c r="C48" i="1"/>
  <c r="S47" i="1"/>
  <c r="D47" i="1"/>
  <c r="C47" i="1"/>
  <c r="S46" i="1"/>
  <c r="D46" i="1"/>
  <c r="C46" i="1"/>
  <c r="S45" i="1"/>
  <c r="D45" i="1"/>
  <c r="C45" i="1"/>
  <c r="Q5" i="1" l="1"/>
  <c r="O5" i="1"/>
  <c r="P5" i="1"/>
  <c r="R5" i="1"/>
  <c r="N5" i="1"/>
  <c r="S5" i="1"/>
  <c r="R5" i="2"/>
  <c r="S5" i="2"/>
  <c r="Q5" i="2"/>
  <c r="O5" i="2"/>
  <c r="P5" i="2"/>
  <c r="N5" i="2"/>
  <c r="T5" i="1" l="1"/>
  <c r="T7" i="1" s="1"/>
  <c r="T5" i="2"/>
  <c r="T7" i="2" s="1"/>
  <c r="O6" i="1" l="1"/>
  <c r="Q6" i="1"/>
  <c r="S6" i="1"/>
  <c r="P6" i="1"/>
  <c r="N6" i="1"/>
  <c r="R6" i="1"/>
  <c r="O6" i="2"/>
  <c r="P6" i="2"/>
  <c r="S6" i="2"/>
  <c r="N6" i="2"/>
  <c r="R6" i="2"/>
  <c r="Q6" i="2"/>
</calcChain>
</file>

<file path=xl/sharedStrings.xml><?xml version="1.0" encoding="utf-8"?>
<sst xmlns="http://schemas.openxmlformats.org/spreadsheetml/2006/main" count="171" uniqueCount="135">
  <si>
    <t>UNIVERSITY OF PORT HARCOURT</t>
  </si>
  <si>
    <t>COURSE EXAMINATION MARK SHEET</t>
  </si>
  <si>
    <t>Program: FULL-TIME</t>
  </si>
  <si>
    <t>Summary:</t>
  </si>
  <si>
    <t>D. TYPE: UNDER-GRADUATE</t>
  </si>
  <si>
    <t>GRADE</t>
  </si>
  <si>
    <t>A</t>
  </si>
  <si>
    <t>B</t>
  </si>
  <si>
    <t>C</t>
  </si>
  <si>
    <t>D</t>
  </si>
  <si>
    <t>E</t>
  </si>
  <si>
    <t>F</t>
  </si>
  <si>
    <t>TOTAL</t>
  </si>
  <si>
    <t>COUNT</t>
  </si>
  <si>
    <t>COURSE UNIT: 3</t>
  </si>
  <si>
    <t xml:space="preserve">Incomplete: </t>
  </si>
  <si>
    <t>% OF CLASS</t>
  </si>
  <si>
    <t>S/NO</t>
  </si>
  <si>
    <t>MAT NO</t>
  </si>
  <si>
    <t>TOTAL SCORE</t>
  </si>
  <si>
    <t>REMARKS</t>
  </si>
  <si>
    <t>Q1</t>
  </si>
  <si>
    <t>Q2</t>
  </si>
  <si>
    <t>Q3</t>
  </si>
  <si>
    <t>Q4</t>
  </si>
  <si>
    <t>Q5</t>
  </si>
  <si>
    <t>Q6</t>
  </si>
  <si>
    <t>Q7</t>
  </si>
  <si>
    <t>Penalty</t>
  </si>
  <si>
    <t>EXAM (70%)</t>
  </si>
  <si>
    <t>CA (30%)</t>
  </si>
  <si>
    <t>CREGID</t>
  </si>
  <si>
    <t>COURSE CODE: LLA 100.1</t>
  </si>
  <si>
    <t>SESSION:2024/2025</t>
  </si>
  <si>
    <t>Sampson Barisudor Lifted</t>
  </si>
  <si>
    <t>DEPARTMENT:FOREIGN LANGUAGES AND LITERATURE</t>
  </si>
  <si>
    <t>COURSE TITLE: Linguistics, Languages and Communication</t>
  </si>
  <si>
    <t xml:space="preserve">Student Set: 2024  </t>
  </si>
  <si>
    <t>Moderation</t>
  </si>
  <si>
    <t>Alamanjo Benedicta Mmesoma</t>
  </si>
  <si>
    <t>Albert Justina</t>
  </si>
  <si>
    <t>Asiyemia Jack D. Joyce</t>
  </si>
  <si>
    <t>Atemie Gladys Tamunoipirioku</t>
  </si>
  <si>
    <t>Ayebalolia Kuromi Ebiri</t>
  </si>
  <si>
    <t>Azunwanne Favour</t>
  </si>
  <si>
    <t>Bartholomew Miracle O.</t>
  </si>
  <si>
    <t>Briggs Anna Inye</t>
  </si>
  <si>
    <t>Cornelius Ibifuro</t>
  </si>
  <si>
    <t>Chima Ijeoma Peace</t>
  </si>
  <si>
    <t>Dike Wisdom Nyimanubari</t>
  </si>
  <si>
    <t xml:space="preserve">Daniel Peace Onyiyechi </t>
  </si>
  <si>
    <t>Egbu Jessica Chisom</t>
  </si>
  <si>
    <t>Ezeisi Ifebuchechukwu Cynthia</t>
  </si>
  <si>
    <t>Epelle Favour Akachukwu</t>
  </si>
  <si>
    <t>Esther Nosiri Chinoye</t>
  </si>
  <si>
    <t>Ezems Blessing Chidiebere</t>
  </si>
  <si>
    <t>Ezenwe Divine Ozioma</t>
  </si>
  <si>
    <t>Ezenagu Ernest</t>
  </si>
  <si>
    <t>Edward Ayauwu</t>
  </si>
  <si>
    <t>Faith John</t>
  </si>
  <si>
    <t>Favour Emeka</t>
  </si>
  <si>
    <t>Fiesin Edith</t>
  </si>
  <si>
    <t>Faith Ngozi Enyadike</t>
  </si>
  <si>
    <t>Friday Blessing Mfon</t>
  </si>
  <si>
    <t>Grace Abraham Sampson</t>
  </si>
  <si>
    <t>Gift Benjamin</t>
  </si>
  <si>
    <t>Ibimina Allwell</t>
  </si>
  <si>
    <t>Izuwa Kelechi</t>
  </si>
  <si>
    <t>James Oluwapelumi Dorcas</t>
  </si>
  <si>
    <t>John Janet Udeme</t>
  </si>
  <si>
    <t>Jackson Deborah Akpan</t>
  </si>
  <si>
    <t>John Lilian Amarachi</t>
  </si>
  <si>
    <t>Kings Precious A.</t>
  </si>
  <si>
    <t>Levi Beloved Osinachi</t>
  </si>
  <si>
    <t>Marinho Maria Oluwajuwonlo</t>
  </si>
  <si>
    <t>Mba Favour Kalu Ezinne</t>
  </si>
  <si>
    <t>Miracle Ezesinachi</t>
  </si>
  <si>
    <t>Nwazuo Amarachi Precious</t>
  </si>
  <si>
    <t>Nwabueze Michael Chinemerem</t>
  </si>
  <si>
    <t>Ntegwuja Daniel Rowland</t>
  </si>
  <si>
    <t>Okechukwu Adanma Chioma</t>
  </si>
  <si>
    <t>Orji Flourish Chioma</t>
  </si>
  <si>
    <t>Ofonime Wisdom Effiong</t>
  </si>
  <si>
    <t>Otuonye Hedua Happiness</t>
  </si>
  <si>
    <t>Obialor Chidiebere Destiny</t>
  </si>
  <si>
    <t>Okaria Oluomachi Maryrose</t>
  </si>
  <si>
    <t>Paulinus Emmanuelle</t>
  </si>
  <si>
    <t>Prince Evidence Nyeugamana</t>
  </si>
  <si>
    <t>Precious Friday Akpan</t>
  </si>
  <si>
    <t>Queen Chukwu Akwu</t>
  </si>
  <si>
    <t>Sule Favour</t>
  </si>
  <si>
    <t>Sunday Favour O.</t>
  </si>
  <si>
    <t>Usman Joy Wuduki</t>
  </si>
  <si>
    <t>Wagbara Fedora Vincent</t>
  </si>
  <si>
    <t>SESSION:2025/2026</t>
  </si>
  <si>
    <t>COURSE CODE: LCS 413.1</t>
  </si>
  <si>
    <t>COURSE TITLE: LANGUAGE DESCRIPTION AND DOCUMENTATION</t>
  </si>
  <si>
    <t>DEPARTMENT:LINGUISTICS AND COMM. STUDIES</t>
  </si>
  <si>
    <t>U2022/1825004</t>
  </si>
  <si>
    <t>U2022/1825005</t>
  </si>
  <si>
    <t>U2022/1825014</t>
  </si>
  <si>
    <t>U2022/1825023</t>
  </si>
  <si>
    <t>U2022/1825031</t>
  </si>
  <si>
    <t>U2022/1825033</t>
  </si>
  <si>
    <t>U2022/1825034</t>
  </si>
  <si>
    <t>U2022/1825035</t>
  </si>
  <si>
    <t>U2022/1825036</t>
  </si>
  <si>
    <t>U2022/1825041</t>
  </si>
  <si>
    <t>U2022/1825042</t>
  </si>
  <si>
    <t>U2022/1825043</t>
  </si>
  <si>
    <t>U2022/1825044</t>
  </si>
  <si>
    <t>U2022/1825045</t>
  </si>
  <si>
    <t>U2022/1825046</t>
  </si>
  <si>
    <t>U2022/1825047</t>
  </si>
  <si>
    <t>U2022/1825073</t>
  </si>
  <si>
    <t>U2022/1825074</t>
  </si>
  <si>
    <t>U2022/1825109</t>
  </si>
  <si>
    <t>U2022/1825114</t>
  </si>
  <si>
    <t>U2022/1825118</t>
  </si>
  <si>
    <t>U2022/1825145</t>
  </si>
  <si>
    <t>U2022/1825146</t>
  </si>
  <si>
    <t>U2022/1825151</t>
  </si>
  <si>
    <t>U2022/1825153</t>
  </si>
  <si>
    <t>U2022/1825154</t>
  </si>
  <si>
    <t>U2022/1825156</t>
  </si>
  <si>
    <t>U2022/1825162</t>
  </si>
  <si>
    <t>U2022/1825168</t>
  </si>
  <si>
    <t>U2022/1825171</t>
  </si>
  <si>
    <t>U2022/1825201</t>
  </si>
  <si>
    <t>U2022/1825235</t>
  </si>
  <si>
    <t>U2022/1825259</t>
  </si>
  <si>
    <t>U2022/1825262</t>
  </si>
  <si>
    <t>U2022/1825287</t>
  </si>
  <si>
    <t>U2022/1825307</t>
  </si>
  <si>
    <t xml:space="preserve">Student Set: 2022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</si>
</sst>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3" x14ac:knownFonts="1">
    <font>
      <sz val="10"/>
      <color rgb="FF000000"/>
      <name val="Calibri"/>
    </font>
    <font>
      <b/>
      <sz val="12"/>
      <color rgb="FF000000"/>
      <name val="Arial Black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 Black"/>
    </font>
    <font>
      <sz val="10"/>
      <color rgb="FF000000"/>
      <name val="Arial Black"/>
    </font>
    <font>
      <b/>
      <sz val="10"/>
      <color rgb="FF000000"/>
      <name val="Arial Narrow"/>
    </font>
    <font>
      <b/>
      <sz val="9"/>
      <color rgb="FF000000"/>
      <name val="Arial"/>
    </font>
    <font>
      <b/>
      <sz val="8"/>
      <color rgb="FF000000"/>
      <name val="Arial"/>
    </font>
    <font>
      <b/>
      <sz val="8"/>
      <color rgb="FF000000"/>
      <name val="Arial Narrow"/>
    </font>
    <font>
      <b/>
      <sz val="10"/>
      <color rgb="FF000000"/>
      <name val="Calibri"/>
    </font>
    <font>
      <sz val="10"/>
      <color rgb="FF000000"/>
      <name val="Calibri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BFBFBF"/>
        <bgColor rgb="FFFFFFFF"/>
      </patternFill>
    </fill>
    <fill>
      <patternFill patternType="solid">
        <fgColor rgb="FF3F3F3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B"/>
      </left>
      <right style="thin">
        <color rgb="FF00000B"/>
      </right>
      <top style="thin">
        <color rgb="FF00000B"/>
      </top>
      <bottom style="thin">
        <color rgb="FF00000B"/>
      </bottom>
      <diagonal/>
    </border>
  </borders>
  <cellStyleXfs count="2">
    <xf numFmtId="0" fontId="0" fillId="0" borderId="0"/>
    <xf numFmtId="0" fontId="11" fillId="2" borderId="0"/>
  </cellStyleXfs>
  <cellXfs count="33">
    <xf numFmtId="0" fontId="0" fillId="2" borderId="0" xfId="0" applyFill="1"/>
    <xf numFmtId="0" fontId="3" fillId="2" borderId="3" xfId="0" applyFont="1" applyFill="1" applyBorder="1" applyAlignment="1">
      <alignment horizontal="center" vertical="center"/>
    </xf>
    <xf numFmtId="164" fontId="8" fillId="3" borderId="6" xfId="0" applyNumberFormat="1" applyFont="1" applyFill="1" applyBorder="1" applyAlignment="1">
      <alignment horizontal="center" vertical="center"/>
    </xf>
    <xf numFmtId="164" fontId="4" fillId="4" borderId="6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 vertical="center"/>
    </xf>
    <xf numFmtId="0" fontId="2" fillId="2" borderId="2" xfId="0" applyFont="1" applyFill="1" applyBorder="1"/>
    <xf numFmtId="0" fontId="6" fillId="2" borderId="1" xfId="0" applyFont="1" applyFill="1" applyBorder="1"/>
    <xf numFmtId="0" fontId="7" fillId="2" borderId="4" xfId="0" applyFont="1" applyFill="1" applyBorder="1" applyAlignment="1">
      <alignment horizontal="left" vertical="center"/>
    </xf>
    <xf numFmtId="0" fontId="2" fillId="2" borderId="5" xfId="0" applyFont="1" applyFill="1" applyBorder="1"/>
    <xf numFmtId="0" fontId="0" fillId="2" borderId="0" xfId="0" applyFill="1"/>
    <xf numFmtId="0" fontId="5" fillId="2" borderId="7" xfId="1" applyFont="1" applyFill="1" applyBorder="1" applyAlignment="1">
      <alignment horizontal="left" vertical="center"/>
    </xf>
    <xf numFmtId="0" fontId="5" fillId="2" borderId="7" xfId="1" applyFont="1" applyFill="1" applyBorder="1" applyAlignment="1">
      <alignment horizontal="center" vertical="center"/>
    </xf>
    <xf numFmtId="0" fontId="1" fillId="2" borderId="0" xfId="1" applyFont="1" applyFill="1" applyAlignment="1">
      <alignment vertical="center"/>
    </xf>
    <xf numFmtId="0" fontId="2" fillId="2" borderId="0" xfId="1" applyFont="1" applyFill="1"/>
    <xf numFmtId="0" fontId="1" fillId="2" borderId="0" xfId="1" applyFont="1" applyFill="1" applyAlignment="1">
      <alignment horizontal="center"/>
    </xf>
    <xf numFmtId="0" fontId="3" fillId="2" borderId="0" xfId="1" applyFont="1" applyFill="1"/>
    <xf numFmtId="0" fontId="11" fillId="2" borderId="0" xfId="1" applyFill="1"/>
    <xf numFmtId="0" fontId="9" fillId="2" borderId="0" xfId="1" applyFont="1" applyFill="1"/>
    <xf numFmtId="0" fontId="1" fillId="2" borderId="0" xfId="1" applyFont="1" applyFill="1"/>
    <xf numFmtId="0" fontId="4" fillId="2" borderId="0" xfId="1" applyFont="1" applyFill="1"/>
    <xf numFmtId="0" fontId="8" fillId="2" borderId="0" xfId="1" applyFont="1" applyFill="1"/>
    <xf numFmtId="0" fontId="10" fillId="2" borderId="0" xfId="1" applyFont="1" applyFill="1"/>
    <xf numFmtId="0" fontId="4" fillId="2" borderId="3" xfId="1" applyFont="1" applyFill="1" applyBorder="1" applyAlignment="1">
      <alignment horizontal="center" vertical="center"/>
    </xf>
    <xf numFmtId="0" fontId="11" fillId="2" borderId="0" xfId="1" applyFill="1"/>
    <xf numFmtId="0" fontId="4" fillId="2" borderId="7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/>
    </xf>
    <xf numFmtId="0" fontId="4" fillId="2" borderId="7" xfId="1" applyFont="1" applyFill="1" applyBorder="1" applyAlignment="1">
      <alignment horizontal="center" wrapText="1"/>
    </xf>
    <xf numFmtId="0" fontId="8" fillId="2" borderId="7" xfId="1" applyFont="1" applyFill="1" applyBorder="1" applyAlignment="1">
      <alignment horizontal="center" textRotation="90"/>
    </xf>
    <xf numFmtId="0" fontId="12" fillId="2" borderId="0" xfId="1" applyFont="1" applyFill="1"/>
    <xf numFmtId="0" fontId="5" fillId="2" borderId="1" xfId="1" applyFont="1" applyFill="1" applyBorder="1"/>
    <xf numFmtId="0" fontId="2" fillId="2" borderId="2" xfId="1" applyFont="1" applyFill="1" applyBorder="1"/>
    <xf numFmtId="0" fontId="11" fillId="2" borderId="0" xfId="1" applyFill="1"/>
  </cellXfs>
  <cellStyles count="2">
    <cellStyle name="Normal" xfId="0" builtinId="0"/>
    <cellStyle name="Normal 2" xfId="1"/>
  </cellStyles>
  <dxfs count="4352"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1"/>
  <sheetViews>
    <sheetView tabSelected="1" view="pageBreakPreview" topLeftCell="A11" zoomScale="60" zoomScaleNormal="90" workbookViewId="0">
      <selection activeCell="H11" sqref="H11"/>
    </sheetView>
  </sheetViews>
  <sheetFormatPr defaultRowHeight="15" customHeight="1" x14ac:dyDescent="0.3"/>
  <cols>
    <col min="1" max="1" width="5" customWidth="1"/>
    <col min="2" max="2" width="21.796875" customWidth="1"/>
    <col min="3" max="3" width="10.09765625" customWidth="1"/>
    <col min="4" max="4" width="8.09765625" customWidth="1"/>
    <col min="5" max="5" width="9.296875" customWidth="1"/>
    <col min="6" max="18" width="4.8984375" customWidth="1"/>
    <col min="19" max="19" width="9" customWidth="1"/>
    <col min="20" max="20" width="8" customWidth="1"/>
    <col min="21" max="21" width="9.09765625" hidden="1"/>
  </cols>
  <sheetData>
    <row r="1" spans="1:21" ht="15" customHeight="1" x14ac:dyDescent="0.3">
      <c r="A1" s="13" t="s">
        <v>0</v>
      </c>
      <c r="B1" s="14"/>
      <c r="C1" s="14"/>
      <c r="D1" s="14"/>
      <c r="E1" s="14"/>
      <c r="F1" s="13" t="s">
        <v>1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1" ht="15" customHeight="1" x14ac:dyDescent="0.5">
      <c r="A2" s="15"/>
      <c r="B2" s="16"/>
      <c r="C2" s="14"/>
      <c r="D2" s="14"/>
      <c r="E2" s="24"/>
      <c r="F2" s="24"/>
      <c r="G2" s="24"/>
      <c r="H2" s="14"/>
      <c r="I2" s="14"/>
      <c r="J2" s="16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1:21" ht="15" customHeight="1" x14ac:dyDescent="0.5">
      <c r="A3" s="29" t="s">
        <v>97</v>
      </c>
      <c r="B3" s="14"/>
      <c r="C3" s="14"/>
      <c r="D3" s="14"/>
      <c r="E3" s="18" t="s">
        <v>2</v>
      </c>
      <c r="F3" s="19"/>
      <c r="G3" s="16"/>
      <c r="H3" s="29" t="s">
        <v>94</v>
      </c>
      <c r="I3" s="14"/>
      <c r="J3" s="16"/>
      <c r="K3" s="16"/>
      <c r="L3" s="20" t="s">
        <v>3</v>
      </c>
      <c r="M3" s="20"/>
      <c r="N3" s="20"/>
      <c r="O3" s="20"/>
      <c r="P3" s="20"/>
      <c r="Q3" s="14"/>
      <c r="R3" s="14"/>
      <c r="S3" s="14"/>
      <c r="T3" s="14"/>
    </row>
    <row r="4" spans="1:21" ht="15" customHeight="1" x14ac:dyDescent="0.45">
      <c r="A4" s="29" t="s">
        <v>95</v>
      </c>
      <c r="B4" s="14"/>
      <c r="C4" s="14"/>
      <c r="D4" s="14"/>
      <c r="E4" s="21" t="s">
        <v>4</v>
      </c>
      <c r="F4" s="24"/>
      <c r="G4" s="22"/>
      <c r="H4" s="16"/>
      <c r="I4" s="14"/>
      <c r="J4" s="16"/>
      <c r="K4" s="14"/>
      <c r="L4" s="30" t="s">
        <v>5</v>
      </c>
      <c r="M4" s="31"/>
      <c r="N4" s="23" t="s">
        <v>6</v>
      </c>
      <c r="O4" s="23" t="s">
        <v>7</v>
      </c>
      <c r="P4" s="23" t="s">
        <v>8</v>
      </c>
      <c r="Q4" s="23" t="s">
        <v>9</v>
      </c>
      <c r="R4" s="23" t="s">
        <v>10</v>
      </c>
      <c r="S4" s="23" t="s">
        <v>11</v>
      </c>
      <c r="T4" s="23" t="s">
        <v>12</v>
      </c>
    </row>
    <row r="5" spans="1:21" ht="15" customHeight="1" x14ac:dyDescent="0.3">
      <c r="A5" s="29" t="s">
        <v>96</v>
      </c>
      <c r="B5" s="14"/>
      <c r="C5" s="14"/>
      <c r="D5" s="14"/>
      <c r="E5" s="29" t="s">
        <v>134</v>
      </c>
      <c r="F5" s="16"/>
      <c r="G5" s="16"/>
      <c r="H5" s="14"/>
      <c r="I5" s="14"/>
      <c r="J5" s="16"/>
      <c r="K5" s="14"/>
      <c r="L5" s="7" t="s">
        <v>13</v>
      </c>
      <c r="M5" s="6"/>
      <c r="N5" s="1">
        <f>COUNTIF(D:D,"A")</f>
        <v>9</v>
      </c>
      <c r="O5" s="1">
        <f>COUNTIF(D:D,"B")</f>
        <v>5</v>
      </c>
      <c r="P5" s="1">
        <f>COUNTIF(D:D,"C")</f>
        <v>11</v>
      </c>
      <c r="Q5" s="1">
        <f>COUNTIF(D:D,"D")</f>
        <v>4</v>
      </c>
      <c r="R5" s="1">
        <f>COUNTIF(D:D,"E")</f>
        <v>7</v>
      </c>
      <c r="S5" s="1">
        <f>COUNTIF(D:D,"F")</f>
        <v>0</v>
      </c>
      <c r="T5" s="1">
        <f>SUM(N5:S5)</f>
        <v>36</v>
      </c>
    </row>
    <row r="6" spans="1:21" ht="15" customHeight="1" x14ac:dyDescent="0.45">
      <c r="A6" s="29" t="s">
        <v>14</v>
      </c>
      <c r="B6" s="14"/>
      <c r="C6" s="14"/>
      <c r="D6" s="14"/>
      <c r="E6" s="20" t="s">
        <v>15</v>
      </c>
      <c r="F6" s="14"/>
      <c r="G6" s="14"/>
      <c r="H6" s="24"/>
      <c r="I6" s="14"/>
      <c r="J6" s="16"/>
      <c r="K6" s="14"/>
      <c r="L6" s="8" t="s">
        <v>16</v>
      </c>
      <c r="M6" s="9"/>
      <c r="N6" s="2">
        <f>ROUND(($N$5*100)/$T$5,2)</f>
        <v>25</v>
      </c>
      <c r="O6" s="2">
        <f>ROUND(($O$5*100)/$T$5,2)</f>
        <v>13.89</v>
      </c>
      <c r="P6" s="2">
        <f>ROUND(($P$5*100)/$T$5,2)</f>
        <v>30.56</v>
      </c>
      <c r="Q6" s="2">
        <f>ROUND(($Q$5*100)/$T$5,2)</f>
        <v>11.11</v>
      </c>
      <c r="R6" s="2">
        <f>ROUND(($R$5*100)/$T$5,2)</f>
        <v>19.440000000000001</v>
      </c>
      <c r="S6" s="2">
        <f>ROUND(($S$5*100)/$T$5,2)</f>
        <v>0</v>
      </c>
      <c r="T6" s="3"/>
    </row>
    <row r="7" spans="1:21" ht="13" x14ac:dyDescent="0.3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24"/>
      <c r="R7" s="24" t="s">
        <v>13</v>
      </c>
      <c r="S7" s="24"/>
      <c r="T7" s="10">
        <f>T5</f>
        <v>36</v>
      </c>
    </row>
    <row r="8" spans="1:21" ht="45" customHeight="1" x14ac:dyDescent="0.45">
      <c r="A8" s="25" t="s">
        <v>17</v>
      </c>
      <c r="B8" s="26" t="s">
        <v>18</v>
      </c>
      <c r="C8" s="27" t="s">
        <v>19</v>
      </c>
      <c r="D8" s="26" t="s">
        <v>5</v>
      </c>
      <c r="E8" s="26" t="s">
        <v>20</v>
      </c>
      <c r="F8" s="26" t="s">
        <v>21</v>
      </c>
      <c r="G8" s="26" t="s">
        <v>22</v>
      </c>
      <c r="H8" s="26" t="s">
        <v>23</v>
      </c>
      <c r="I8" s="26" t="s">
        <v>24</v>
      </c>
      <c r="J8" s="26" t="s">
        <v>25</v>
      </c>
      <c r="K8" s="26" t="s">
        <v>26</v>
      </c>
      <c r="L8" s="26" t="s">
        <v>27</v>
      </c>
      <c r="M8" s="28" t="s">
        <v>28</v>
      </c>
      <c r="N8" s="28" t="s">
        <v>38</v>
      </c>
      <c r="O8" s="26"/>
      <c r="P8" s="26"/>
      <c r="Q8" s="26"/>
      <c r="R8" s="26"/>
      <c r="S8" s="27" t="s">
        <v>29</v>
      </c>
      <c r="T8" s="27" t="s">
        <v>30</v>
      </c>
      <c r="U8" s="4" t="s">
        <v>31</v>
      </c>
    </row>
    <row r="9" spans="1:21" ht="15.5" x14ac:dyDescent="0.3">
      <c r="A9" s="12">
        <v>1</v>
      </c>
      <c r="B9" s="12" t="s">
        <v>98</v>
      </c>
      <c r="C9" s="5">
        <f>IF(TRIM($B9)&lt;&gt; "",$S9+$T9+$L9+$N9-$M9,"")</f>
        <v>40</v>
      </c>
      <c r="D9" s="5" t="str">
        <f t="shared" ref="D9:D44" si="0">IF(TRIM($B9)= "","",IF($E$4="D. TYPE: UNDER-GRADUATE", IF($C9&gt;=70,"A",IF($C9&gt;=60,"B",IF($C9&gt;=50,"C",IF($C9&gt;=45,"D",IF($C9&gt;=40,"E",IF(TRIM($B9)&lt;&gt; "","F","")))))), IF($E$4="D. TYPE: BASIC",IF($C9&gt;=70,"A",IF($C9&gt;=60,"B",IF( $C9&gt;=50,"C",IF( $C9 &gt;=40,"D",IF(TRIM($B9)&lt;&gt; "","F",""))))), IF($E$4="D. TYPE: CERTIFICATE",IF($C9&gt;=70,"A",IF($C9&gt;=60,"B",IF($C9&gt;=50,"C",IF($C9&gt;=40,"D",IF(TRIM($B9)&lt;&gt; "","F",""))))),  IF($C9&gt;=70,"A",IF($C9&gt;=60,"B",IF($C9&gt;=50,"C",IF(TRIM($B9)&lt;&gt; "","F",""))))))))</f>
        <v>E</v>
      </c>
      <c r="E9" s="5"/>
      <c r="F9" s="5">
        <v>10</v>
      </c>
      <c r="G9" s="5">
        <v>7</v>
      </c>
      <c r="H9" s="5">
        <v>5</v>
      </c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ref="S9:S44" si="1">IF(TRIM($B9)&lt;&gt; "",$F9+$G9+$H9+$I9+$J9+$K9,"")</f>
        <v>22</v>
      </c>
      <c r="T9" s="12">
        <v>18</v>
      </c>
      <c r="U9" s="5">
        <v>2505503</v>
      </c>
    </row>
    <row r="10" spans="1:21" ht="15.5" x14ac:dyDescent="0.3">
      <c r="A10" s="12">
        <v>2</v>
      </c>
      <c r="B10" s="12" t="s">
        <v>99</v>
      </c>
      <c r="C10" s="5">
        <f t="shared" ref="C10:C44" si="2">IF(TRIM($B10)&lt;&gt; "",$S10+$T10+$L10+$N10-$M10,"")</f>
        <v>77</v>
      </c>
      <c r="D10" s="5" t="str">
        <f t="shared" si="0"/>
        <v>A</v>
      </c>
      <c r="E10" s="5"/>
      <c r="F10" s="5">
        <v>25</v>
      </c>
      <c r="G10" s="5">
        <v>17</v>
      </c>
      <c r="H10" s="5">
        <v>10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1"/>
        <v>52</v>
      </c>
      <c r="T10" s="12">
        <v>25</v>
      </c>
      <c r="U10" s="5">
        <v>2491819</v>
      </c>
    </row>
    <row r="11" spans="1:21" ht="15.5" x14ac:dyDescent="0.3">
      <c r="A11" s="12">
        <v>3</v>
      </c>
      <c r="B11" s="12" t="s">
        <v>100</v>
      </c>
      <c r="C11" s="5">
        <f t="shared" si="2"/>
        <v>55</v>
      </c>
      <c r="D11" s="5" t="str">
        <f t="shared" si="0"/>
        <v>C</v>
      </c>
      <c r="E11" s="5"/>
      <c r="F11" s="5">
        <v>10</v>
      </c>
      <c r="G11" s="5">
        <v>11</v>
      </c>
      <c r="H11" s="5">
        <v>13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>
        <f t="shared" si="1"/>
        <v>34</v>
      </c>
      <c r="T11" s="12">
        <v>21</v>
      </c>
      <c r="U11" s="5">
        <v>2523660</v>
      </c>
    </row>
    <row r="12" spans="1:21" ht="15.5" x14ac:dyDescent="0.3">
      <c r="A12" s="12">
        <v>4</v>
      </c>
      <c r="B12" s="12" t="s">
        <v>101</v>
      </c>
      <c r="C12" s="5">
        <f t="shared" si="2"/>
        <v>45</v>
      </c>
      <c r="D12" s="5" t="str">
        <f t="shared" si="0"/>
        <v>D</v>
      </c>
      <c r="E12" s="5"/>
      <c r="F12" s="5">
        <v>15</v>
      </c>
      <c r="G12" s="5">
        <v>6</v>
      </c>
      <c r="H12" s="5">
        <v>8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1"/>
        <v>29</v>
      </c>
      <c r="T12" s="12">
        <v>16</v>
      </c>
      <c r="U12" s="5">
        <v>2524673</v>
      </c>
    </row>
    <row r="13" spans="1:21" ht="15.5" x14ac:dyDescent="0.3">
      <c r="A13" s="12">
        <v>5</v>
      </c>
      <c r="B13" s="12" t="s">
        <v>102</v>
      </c>
      <c r="C13" s="5">
        <f t="shared" si="2"/>
        <v>40</v>
      </c>
      <c r="D13" s="5" t="str">
        <f t="shared" si="0"/>
        <v>E</v>
      </c>
      <c r="E13" s="5"/>
      <c r="F13" s="5">
        <v>13</v>
      </c>
      <c r="G13" s="5">
        <v>1</v>
      </c>
      <c r="H13" s="5">
        <v>13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1"/>
        <v>27</v>
      </c>
      <c r="T13" s="12">
        <v>13</v>
      </c>
      <c r="U13" s="5">
        <v>2524354</v>
      </c>
    </row>
    <row r="14" spans="1:21" ht="15.5" x14ac:dyDescent="0.3">
      <c r="A14" s="12">
        <v>6</v>
      </c>
      <c r="B14" s="12" t="s">
        <v>103</v>
      </c>
      <c r="C14" s="5">
        <f t="shared" si="2"/>
        <v>80</v>
      </c>
      <c r="D14" s="5" t="str">
        <f t="shared" si="0"/>
        <v>A</v>
      </c>
      <c r="E14" s="5"/>
      <c r="F14" s="5">
        <v>25</v>
      </c>
      <c r="G14" s="5">
        <v>15</v>
      </c>
      <c r="H14" s="5">
        <v>17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1"/>
        <v>57</v>
      </c>
      <c r="T14" s="12">
        <v>23</v>
      </c>
      <c r="U14" s="5">
        <v>2523827</v>
      </c>
    </row>
    <row r="15" spans="1:21" ht="15.5" x14ac:dyDescent="0.3">
      <c r="A15" s="12">
        <v>7</v>
      </c>
      <c r="B15" s="12" t="s">
        <v>104</v>
      </c>
      <c r="C15" s="5">
        <f t="shared" si="2"/>
        <v>76</v>
      </c>
      <c r="D15" s="5" t="str">
        <f t="shared" si="0"/>
        <v>A</v>
      </c>
      <c r="E15" s="5"/>
      <c r="F15" s="5">
        <v>18</v>
      </c>
      <c r="G15" s="5">
        <v>16</v>
      </c>
      <c r="H15" s="5">
        <v>18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>
        <f t="shared" si="1"/>
        <v>52</v>
      </c>
      <c r="T15" s="12">
        <v>24</v>
      </c>
      <c r="U15" s="5">
        <v>2548684</v>
      </c>
    </row>
    <row r="16" spans="1:21" ht="15.5" x14ac:dyDescent="0.3">
      <c r="A16" s="12">
        <v>8</v>
      </c>
      <c r="B16" s="12" t="s">
        <v>105</v>
      </c>
      <c r="C16" s="5">
        <f t="shared" si="2"/>
        <v>58</v>
      </c>
      <c r="D16" s="5" t="str">
        <f t="shared" si="0"/>
        <v>C</v>
      </c>
      <c r="E16" s="5"/>
      <c r="F16" s="5">
        <v>10</v>
      </c>
      <c r="G16" s="5">
        <v>14</v>
      </c>
      <c r="H16" s="5">
        <v>12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1"/>
        <v>36</v>
      </c>
      <c r="T16" s="12">
        <v>22</v>
      </c>
      <c r="U16" s="5">
        <v>2523841</v>
      </c>
    </row>
    <row r="17" spans="1:21" ht="15.5" x14ac:dyDescent="0.3">
      <c r="A17" s="12">
        <v>9</v>
      </c>
      <c r="B17" s="12" t="s">
        <v>106</v>
      </c>
      <c r="C17" s="5">
        <f t="shared" si="2"/>
        <v>55</v>
      </c>
      <c r="D17" s="5" t="str">
        <f t="shared" si="0"/>
        <v>C</v>
      </c>
      <c r="E17" s="5"/>
      <c r="F17" s="5">
        <v>10</v>
      </c>
      <c r="G17" s="5">
        <v>15</v>
      </c>
      <c r="H17" s="5">
        <v>7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1"/>
        <v>32</v>
      </c>
      <c r="T17" s="12">
        <v>23</v>
      </c>
      <c r="U17" s="5">
        <v>2548831</v>
      </c>
    </row>
    <row r="18" spans="1:21" ht="15.5" x14ac:dyDescent="0.3">
      <c r="A18" s="12">
        <v>10</v>
      </c>
      <c r="B18" s="12" t="s">
        <v>107</v>
      </c>
      <c r="C18" s="5">
        <f t="shared" si="2"/>
        <v>50</v>
      </c>
      <c r="D18" s="5" t="str">
        <f t="shared" si="0"/>
        <v>C</v>
      </c>
      <c r="E18" s="5"/>
      <c r="F18" s="5">
        <v>13</v>
      </c>
      <c r="G18" s="5">
        <v>9</v>
      </c>
      <c r="H18" s="5">
        <v>9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>
        <f t="shared" si="1"/>
        <v>31</v>
      </c>
      <c r="T18" s="12">
        <v>19</v>
      </c>
      <c r="U18" s="5">
        <v>2524549</v>
      </c>
    </row>
    <row r="19" spans="1:21" ht="15.5" x14ac:dyDescent="0.3">
      <c r="A19" s="12">
        <v>11</v>
      </c>
      <c r="B19" s="12" t="s">
        <v>108</v>
      </c>
      <c r="C19" s="5">
        <f t="shared" si="2"/>
        <v>63</v>
      </c>
      <c r="D19" s="5" t="str">
        <f t="shared" si="0"/>
        <v>B</v>
      </c>
      <c r="E19" s="5"/>
      <c r="F19" s="5">
        <v>16</v>
      </c>
      <c r="G19" s="5">
        <v>15</v>
      </c>
      <c r="H19" s="5">
        <v>9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>
        <f t="shared" si="1"/>
        <v>40</v>
      </c>
      <c r="T19" s="12">
        <v>23</v>
      </c>
      <c r="U19" s="5">
        <v>2555197</v>
      </c>
    </row>
    <row r="20" spans="1:21" ht="15.5" x14ac:dyDescent="0.3">
      <c r="A20" s="12">
        <v>12</v>
      </c>
      <c r="B20" s="12" t="s">
        <v>109</v>
      </c>
      <c r="C20" s="5">
        <f t="shared" si="2"/>
        <v>51</v>
      </c>
      <c r="D20" s="5" t="str">
        <f t="shared" si="0"/>
        <v>C</v>
      </c>
      <c r="E20" s="5"/>
      <c r="F20" s="5">
        <v>10</v>
      </c>
      <c r="G20" s="5">
        <v>13</v>
      </c>
      <c r="H20" s="5">
        <v>7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>
        <f t="shared" si="1"/>
        <v>30</v>
      </c>
      <c r="T20" s="12">
        <v>21</v>
      </c>
      <c r="U20" s="5">
        <v>1984413</v>
      </c>
    </row>
    <row r="21" spans="1:21" ht="15.5" x14ac:dyDescent="0.3">
      <c r="A21" s="12">
        <v>13</v>
      </c>
      <c r="B21" s="12" t="s">
        <v>110</v>
      </c>
      <c r="C21" s="5">
        <f t="shared" si="2"/>
        <v>51</v>
      </c>
      <c r="D21" s="5" t="str">
        <f t="shared" si="0"/>
        <v>C</v>
      </c>
      <c r="E21" s="5"/>
      <c r="F21" s="5">
        <v>7</v>
      </c>
      <c r="G21" s="5">
        <v>15</v>
      </c>
      <c r="H21" s="5">
        <v>6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1"/>
        <v>28</v>
      </c>
      <c r="T21" s="12">
        <v>23</v>
      </c>
      <c r="U21" s="5">
        <v>1781755</v>
      </c>
    </row>
    <row r="22" spans="1:21" ht="15.5" x14ac:dyDescent="0.3">
      <c r="A22" s="12">
        <v>14</v>
      </c>
      <c r="B22" s="12" t="s">
        <v>111</v>
      </c>
      <c r="C22" s="5">
        <f t="shared" si="2"/>
        <v>45</v>
      </c>
      <c r="D22" s="5" t="str">
        <f t="shared" si="0"/>
        <v>D</v>
      </c>
      <c r="E22" s="5"/>
      <c r="F22" s="5">
        <v>12</v>
      </c>
      <c r="G22" s="5">
        <v>8</v>
      </c>
      <c r="H22" s="5">
        <v>7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>
        <f t="shared" si="1"/>
        <v>27</v>
      </c>
      <c r="T22" s="12">
        <v>18</v>
      </c>
      <c r="U22" s="5">
        <v>1824270</v>
      </c>
    </row>
    <row r="23" spans="1:21" ht="15.5" x14ac:dyDescent="0.3">
      <c r="A23" s="12">
        <v>15</v>
      </c>
      <c r="B23" s="12" t="s">
        <v>112</v>
      </c>
      <c r="C23" s="5">
        <f t="shared" si="2"/>
        <v>52</v>
      </c>
      <c r="D23" s="5" t="str">
        <f t="shared" si="0"/>
        <v>C</v>
      </c>
      <c r="E23" s="5"/>
      <c r="F23" s="5">
        <v>16</v>
      </c>
      <c r="G23" s="5">
        <v>9</v>
      </c>
      <c r="H23" s="5">
        <v>8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f t="shared" si="1"/>
        <v>33</v>
      </c>
      <c r="T23" s="12">
        <v>19</v>
      </c>
      <c r="U23" s="5">
        <v>2291704</v>
      </c>
    </row>
    <row r="24" spans="1:21" ht="15.5" x14ac:dyDescent="0.3">
      <c r="A24" s="12">
        <v>16</v>
      </c>
      <c r="B24" s="12" t="s">
        <v>113</v>
      </c>
      <c r="C24" s="5">
        <f t="shared" si="2"/>
        <v>50</v>
      </c>
      <c r="D24" s="5" t="str">
        <f t="shared" si="0"/>
        <v>C</v>
      </c>
      <c r="E24" s="5"/>
      <c r="F24" s="5">
        <v>15</v>
      </c>
      <c r="G24" s="5">
        <v>7</v>
      </c>
      <c r="H24" s="5">
        <v>11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>
        <f t="shared" si="1"/>
        <v>33</v>
      </c>
      <c r="T24" s="12">
        <v>17</v>
      </c>
      <c r="U24" s="5">
        <v>2284867</v>
      </c>
    </row>
    <row r="25" spans="1:21" ht="15.5" x14ac:dyDescent="0.3">
      <c r="A25" s="12">
        <v>17</v>
      </c>
      <c r="B25" s="12" t="s">
        <v>114</v>
      </c>
      <c r="C25" s="5">
        <f t="shared" si="2"/>
        <v>76</v>
      </c>
      <c r="D25" s="5" t="str">
        <f t="shared" si="0"/>
        <v>A</v>
      </c>
      <c r="E25" s="5"/>
      <c r="F25" s="5">
        <v>18</v>
      </c>
      <c r="G25" s="5">
        <v>16</v>
      </c>
      <c r="H25" s="5">
        <v>18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>
        <f t="shared" si="1"/>
        <v>52</v>
      </c>
      <c r="T25" s="12">
        <v>24</v>
      </c>
      <c r="U25" s="5">
        <v>2519330</v>
      </c>
    </row>
    <row r="26" spans="1:21" ht="15.5" x14ac:dyDescent="0.3">
      <c r="A26" s="12">
        <v>18</v>
      </c>
      <c r="B26" s="12" t="s">
        <v>115</v>
      </c>
      <c r="C26" s="5">
        <f t="shared" si="2"/>
        <v>68</v>
      </c>
      <c r="D26" s="5" t="str">
        <f t="shared" si="0"/>
        <v>B</v>
      </c>
      <c r="E26" s="5"/>
      <c r="F26" s="5">
        <v>15</v>
      </c>
      <c r="G26" s="5">
        <v>18</v>
      </c>
      <c r="H26" s="5">
        <v>9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>
        <f t="shared" si="1"/>
        <v>42</v>
      </c>
      <c r="T26" s="12">
        <v>26</v>
      </c>
      <c r="U26" s="5">
        <v>2134922</v>
      </c>
    </row>
    <row r="27" spans="1:21" ht="15.5" x14ac:dyDescent="0.3">
      <c r="A27" s="12">
        <v>19</v>
      </c>
      <c r="B27" s="12" t="s">
        <v>116</v>
      </c>
      <c r="C27" s="5">
        <f t="shared" si="2"/>
        <v>63</v>
      </c>
      <c r="D27" s="5" t="str">
        <f t="shared" si="0"/>
        <v>B</v>
      </c>
      <c r="E27" s="5"/>
      <c r="F27" s="5">
        <v>20</v>
      </c>
      <c r="G27" s="5">
        <v>10</v>
      </c>
      <c r="H27" s="5">
        <v>13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>
        <f t="shared" si="1"/>
        <v>43</v>
      </c>
      <c r="T27" s="12">
        <v>20</v>
      </c>
      <c r="U27" s="5">
        <v>2274504</v>
      </c>
    </row>
    <row r="28" spans="1:21" ht="15.5" x14ac:dyDescent="0.3">
      <c r="A28" s="12">
        <v>20</v>
      </c>
      <c r="B28" s="12" t="s">
        <v>117</v>
      </c>
      <c r="C28" s="5">
        <f t="shared" si="2"/>
        <v>70</v>
      </c>
      <c r="D28" s="5" t="str">
        <f t="shared" si="0"/>
        <v>A</v>
      </c>
      <c r="E28" s="5"/>
      <c r="F28" s="5">
        <v>24</v>
      </c>
      <c r="G28" s="5">
        <v>15</v>
      </c>
      <c r="H28" s="5">
        <v>7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f t="shared" si="1"/>
        <v>46</v>
      </c>
      <c r="T28" s="12">
        <v>24</v>
      </c>
      <c r="U28" s="5">
        <v>2197188</v>
      </c>
    </row>
    <row r="29" spans="1:21" ht="15.5" x14ac:dyDescent="0.3">
      <c r="A29" s="12">
        <v>21</v>
      </c>
      <c r="B29" s="12" t="s">
        <v>118</v>
      </c>
      <c r="C29" s="5">
        <f t="shared" si="2"/>
        <v>72</v>
      </c>
      <c r="D29" s="5" t="str">
        <f t="shared" si="0"/>
        <v>A</v>
      </c>
      <c r="E29" s="5"/>
      <c r="F29" s="5">
        <v>23</v>
      </c>
      <c r="G29" s="5">
        <v>16</v>
      </c>
      <c r="H29" s="5">
        <v>9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>
        <f t="shared" si="1"/>
        <v>48</v>
      </c>
      <c r="T29" s="12">
        <v>24</v>
      </c>
      <c r="U29" s="5">
        <v>2085758</v>
      </c>
    </row>
    <row r="30" spans="1:21" ht="15.5" x14ac:dyDescent="0.3">
      <c r="A30" s="12">
        <v>22</v>
      </c>
      <c r="B30" s="12" t="s">
        <v>119</v>
      </c>
      <c r="C30" s="5">
        <f t="shared" si="2"/>
        <v>50</v>
      </c>
      <c r="D30" s="5" t="str">
        <f t="shared" si="0"/>
        <v>C</v>
      </c>
      <c r="E30" s="5"/>
      <c r="F30" s="5">
        <v>10</v>
      </c>
      <c r="G30" s="5">
        <v>10</v>
      </c>
      <c r="H30" s="5">
        <v>9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>
        <f t="shared" si="1"/>
        <v>29</v>
      </c>
      <c r="T30" s="12">
        <v>21</v>
      </c>
      <c r="U30" s="5">
        <v>1985989</v>
      </c>
    </row>
    <row r="31" spans="1:21" ht="15.5" x14ac:dyDescent="0.3">
      <c r="A31" s="12">
        <v>23</v>
      </c>
      <c r="B31" s="12" t="s">
        <v>120</v>
      </c>
      <c r="C31" s="5">
        <f t="shared" si="2"/>
        <v>62</v>
      </c>
      <c r="D31" s="5" t="str">
        <f t="shared" si="0"/>
        <v>B</v>
      </c>
      <c r="E31" s="5"/>
      <c r="F31" s="5">
        <v>18</v>
      </c>
      <c r="G31" s="5">
        <v>12</v>
      </c>
      <c r="H31" s="5">
        <v>10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f t="shared" si="1"/>
        <v>40</v>
      </c>
      <c r="T31" s="12">
        <v>22</v>
      </c>
      <c r="U31" s="5">
        <v>1950537</v>
      </c>
    </row>
    <row r="32" spans="1:21" ht="15.5" x14ac:dyDescent="0.3">
      <c r="A32" s="12">
        <v>24</v>
      </c>
      <c r="B32" s="12" t="s">
        <v>121</v>
      </c>
      <c r="C32" s="5">
        <f t="shared" si="2"/>
        <v>47</v>
      </c>
      <c r="D32" s="5" t="str">
        <f t="shared" si="0"/>
        <v>D</v>
      </c>
      <c r="E32" s="5"/>
      <c r="F32" s="5">
        <v>10</v>
      </c>
      <c r="G32" s="5">
        <v>10</v>
      </c>
      <c r="H32" s="5">
        <v>7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f t="shared" si="1"/>
        <v>27</v>
      </c>
      <c r="T32" s="12">
        <v>20</v>
      </c>
      <c r="U32" s="5">
        <v>2238173</v>
      </c>
    </row>
    <row r="33" spans="1:21" ht="15.5" x14ac:dyDescent="0.3">
      <c r="A33" s="12">
        <v>25</v>
      </c>
      <c r="B33" s="12" t="s">
        <v>122</v>
      </c>
      <c r="C33" s="5">
        <f t="shared" si="2"/>
        <v>61</v>
      </c>
      <c r="D33" s="5" t="str">
        <f t="shared" si="0"/>
        <v>B</v>
      </c>
      <c r="E33" s="5"/>
      <c r="F33" s="5">
        <v>18</v>
      </c>
      <c r="G33" s="5">
        <v>11</v>
      </c>
      <c r="H33" s="5">
        <v>11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f t="shared" si="1"/>
        <v>40</v>
      </c>
      <c r="T33" s="12">
        <v>21</v>
      </c>
      <c r="U33" s="5">
        <v>2533534</v>
      </c>
    </row>
    <row r="34" spans="1:21" ht="15.5" x14ac:dyDescent="0.3">
      <c r="A34" s="12">
        <v>26</v>
      </c>
      <c r="B34" s="12" t="s">
        <v>123</v>
      </c>
      <c r="C34" s="5">
        <f t="shared" si="2"/>
        <v>40</v>
      </c>
      <c r="D34" s="5" t="str">
        <f t="shared" si="0"/>
        <v>E</v>
      </c>
      <c r="E34" s="5"/>
      <c r="F34" s="5">
        <v>10</v>
      </c>
      <c r="G34" s="5">
        <v>6</v>
      </c>
      <c r="H34" s="5">
        <v>7</v>
      </c>
      <c r="I34" s="5"/>
      <c r="J34" s="5"/>
      <c r="K34" s="5"/>
      <c r="L34" s="5"/>
      <c r="M34" s="5"/>
      <c r="N34" s="5">
        <v>1</v>
      </c>
      <c r="O34" s="5"/>
      <c r="P34" s="5"/>
      <c r="Q34" s="5"/>
      <c r="R34" s="5"/>
      <c r="S34" s="5">
        <f t="shared" si="1"/>
        <v>23</v>
      </c>
      <c r="T34" s="12">
        <v>16</v>
      </c>
      <c r="U34" s="5">
        <v>2275441</v>
      </c>
    </row>
    <row r="35" spans="1:21" ht="15.5" x14ac:dyDescent="0.3">
      <c r="A35" s="12">
        <v>27</v>
      </c>
      <c r="B35" s="12" t="s">
        <v>124</v>
      </c>
      <c r="C35" s="5">
        <f t="shared" si="2"/>
        <v>50</v>
      </c>
      <c r="D35" s="5" t="str">
        <f t="shared" si="0"/>
        <v>C</v>
      </c>
      <c r="E35" s="5"/>
      <c r="F35" s="5">
        <v>8</v>
      </c>
      <c r="G35" s="5">
        <v>12</v>
      </c>
      <c r="H35" s="5">
        <v>9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>
        <f t="shared" si="1"/>
        <v>29</v>
      </c>
      <c r="T35" s="12">
        <v>21</v>
      </c>
      <c r="U35" s="5">
        <v>1794677</v>
      </c>
    </row>
    <row r="36" spans="1:21" ht="15.5" x14ac:dyDescent="0.3">
      <c r="A36" s="12">
        <v>28</v>
      </c>
      <c r="B36" s="12" t="s">
        <v>125</v>
      </c>
      <c r="C36" s="5">
        <f t="shared" si="2"/>
        <v>41</v>
      </c>
      <c r="D36" s="5" t="str">
        <f t="shared" si="0"/>
        <v>E</v>
      </c>
      <c r="E36" s="5"/>
      <c r="F36" s="5">
        <v>12</v>
      </c>
      <c r="G36" s="5">
        <v>6</v>
      </c>
      <c r="H36" s="5">
        <v>7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>
        <f t="shared" si="1"/>
        <v>25</v>
      </c>
      <c r="T36" s="12">
        <v>16</v>
      </c>
      <c r="U36" s="5">
        <v>1952536</v>
      </c>
    </row>
    <row r="37" spans="1:21" ht="15.5" x14ac:dyDescent="0.3">
      <c r="A37" s="12">
        <v>29</v>
      </c>
      <c r="B37" s="12" t="s">
        <v>126</v>
      </c>
      <c r="C37" s="5">
        <f t="shared" si="2"/>
        <v>40</v>
      </c>
      <c r="D37" s="5" t="str">
        <f t="shared" si="0"/>
        <v>E</v>
      </c>
      <c r="E37" s="5"/>
      <c r="F37" s="5">
        <v>6</v>
      </c>
      <c r="G37" s="5">
        <v>6</v>
      </c>
      <c r="H37" s="5">
        <v>11</v>
      </c>
      <c r="I37" s="5"/>
      <c r="J37" s="5"/>
      <c r="K37" s="5"/>
      <c r="L37" s="5"/>
      <c r="M37" s="5"/>
      <c r="N37" s="5">
        <v>1</v>
      </c>
      <c r="O37" s="5"/>
      <c r="P37" s="5"/>
      <c r="Q37" s="5"/>
      <c r="R37" s="5"/>
      <c r="S37" s="5">
        <f t="shared" si="1"/>
        <v>23</v>
      </c>
      <c r="T37" s="12">
        <v>16</v>
      </c>
      <c r="U37" s="5">
        <v>2203510</v>
      </c>
    </row>
    <row r="38" spans="1:21" ht="15.5" x14ac:dyDescent="0.3">
      <c r="A38" s="12">
        <v>30</v>
      </c>
      <c r="B38" s="12" t="s">
        <v>127</v>
      </c>
      <c r="C38" s="5">
        <f t="shared" si="2"/>
        <v>45</v>
      </c>
      <c r="D38" s="5" t="str">
        <f t="shared" si="0"/>
        <v>D</v>
      </c>
      <c r="E38" s="5"/>
      <c r="F38" s="5">
        <v>10</v>
      </c>
      <c r="G38" s="5">
        <v>10</v>
      </c>
      <c r="H38" s="5">
        <v>5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>
        <f t="shared" si="1"/>
        <v>25</v>
      </c>
      <c r="T38" s="12">
        <v>20</v>
      </c>
      <c r="U38" s="5">
        <v>1828238</v>
      </c>
    </row>
    <row r="39" spans="1:21" ht="15.5" x14ac:dyDescent="0.3">
      <c r="A39" s="12">
        <v>31</v>
      </c>
      <c r="B39" s="12" t="s">
        <v>128</v>
      </c>
      <c r="C39" s="5">
        <f t="shared" si="2"/>
        <v>70</v>
      </c>
      <c r="D39" s="5" t="str">
        <f t="shared" si="0"/>
        <v>A</v>
      </c>
      <c r="E39" s="5"/>
      <c r="F39" s="5">
        <v>18</v>
      </c>
      <c r="G39" s="5">
        <v>18</v>
      </c>
      <c r="H39" s="5">
        <v>8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>
        <f t="shared" si="1"/>
        <v>44</v>
      </c>
      <c r="T39" s="12">
        <v>26</v>
      </c>
      <c r="U39" s="5">
        <v>1950567</v>
      </c>
    </row>
    <row r="40" spans="1:21" ht="15.5" x14ac:dyDescent="0.3">
      <c r="A40" s="12">
        <v>32</v>
      </c>
      <c r="B40" s="12" t="s">
        <v>129</v>
      </c>
      <c r="C40" s="5">
        <f t="shared" si="2"/>
        <v>76</v>
      </c>
      <c r="D40" s="5" t="str">
        <f t="shared" si="0"/>
        <v>A</v>
      </c>
      <c r="E40" s="5"/>
      <c r="F40" s="5">
        <v>17</v>
      </c>
      <c r="G40" s="5">
        <v>19</v>
      </c>
      <c r="H40" s="5">
        <v>15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>
        <f t="shared" si="1"/>
        <v>51</v>
      </c>
      <c r="T40" s="12">
        <v>25</v>
      </c>
      <c r="U40" s="5">
        <v>2519311</v>
      </c>
    </row>
    <row r="41" spans="1:21" ht="15.5" x14ac:dyDescent="0.3">
      <c r="A41" s="12">
        <v>33</v>
      </c>
      <c r="B41" s="12" t="s">
        <v>130</v>
      </c>
      <c r="C41" s="5">
        <f t="shared" si="2"/>
        <v>40</v>
      </c>
      <c r="D41" s="5" t="str">
        <f t="shared" si="0"/>
        <v>E</v>
      </c>
      <c r="E41" s="5"/>
      <c r="F41" s="5">
        <v>6</v>
      </c>
      <c r="G41" s="5">
        <v>7</v>
      </c>
      <c r="H41" s="5">
        <v>8</v>
      </c>
      <c r="I41" s="5"/>
      <c r="J41" s="5"/>
      <c r="K41" s="5"/>
      <c r="L41" s="5"/>
      <c r="M41" s="5"/>
      <c r="N41" s="5">
        <v>2</v>
      </c>
      <c r="O41" s="5"/>
      <c r="P41" s="5"/>
      <c r="Q41" s="5"/>
      <c r="R41" s="5"/>
      <c r="S41" s="5">
        <f t="shared" si="1"/>
        <v>21</v>
      </c>
      <c r="T41" s="12">
        <v>17</v>
      </c>
      <c r="U41" s="5">
        <v>1869907</v>
      </c>
    </row>
    <row r="42" spans="1:21" ht="15.5" x14ac:dyDescent="0.3">
      <c r="A42" s="12">
        <v>34</v>
      </c>
      <c r="B42" s="12" t="s">
        <v>131</v>
      </c>
      <c r="C42" s="5">
        <f t="shared" si="2"/>
        <v>70</v>
      </c>
      <c r="D42" s="5" t="str">
        <f t="shared" si="0"/>
        <v>A</v>
      </c>
      <c r="E42" s="5"/>
      <c r="F42" s="5">
        <v>18</v>
      </c>
      <c r="G42" s="5">
        <v>15</v>
      </c>
      <c r="H42" s="5">
        <v>14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f t="shared" si="1"/>
        <v>47</v>
      </c>
      <c r="T42" s="12">
        <v>23</v>
      </c>
      <c r="U42" s="5">
        <v>2215668</v>
      </c>
    </row>
    <row r="43" spans="1:21" ht="15.5" x14ac:dyDescent="0.3">
      <c r="A43" s="12">
        <v>35</v>
      </c>
      <c r="B43" s="12" t="s">
        <v>132</v>
      </c>
      <c r="C43" s="5">
        <f t="shared" si="2"/>
        <v>40</v>
      </c>
      <c r="D43" s="5" t="str">
        <f t="shared" si="0"/>
        <v>E</v>
      </c>
      <c r="E43" s="5"/>
      <c r="F43" s="5">
        <v>8</v>
      </c>
      <c r="G43" s="5">
        <v>5</v>
      </c>
      <c r="H43" s="5">
        <v>11</v>
      </c>
      <c r="I43" s="5"/>
      <c r="J43" s="5"/>
      <c r="K43" s="5"/>
      <c r="L43" s="5"/>
      <c r="M43" s="5"/>
      <c r="N43" s="5">
        <v>1</v>
      </c>
      <c r="O43" s="5"/>
      <c r="P43" s="5"/>
      <c r="Q43" s="5"/>
      <c r="R43" s="5"/>
      <c r="S43" s="5">
        <f t="shared" si="1"/>
        <v>24</v>
      </c>
      <c r="T43" s="12">
        <v>15</v>
      </c>
      <c r="U43" s="5">
        <v>1816175</v>
      </c>
    </row>
    <row r="44" spans="1:21" ht="15.5" x14ac:dyDescent="0.3">
      <c r="A44" s="12">
        <v>36</v>
      </c>
      <c r="B44" s="12" t="s">
        <v>133</v>
      </c>
      <c r="C44" s="5">
        <f t="shared" si="2"/>
        <v>57</v>
      </c>
      <c r="D44" s="5" t="str">
        <f t="shared" si="0"/>
        <v>C</v>
      </c>
      <c r="E44" s="5"/>
      <c r="F44" s="5">
        <v>6</v>
      </c>
      <c r="G44" s="5">
        <v>17</v>
      </c>
      <c r="H44" s="5">
        <v>9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>
        <f t="shared" si="1"/>
        <v>32</v>
      </c>
      <c r="T44" s="12">
        <v>25</v>
      </c>
      <c r="U44" s="5">
        <v>1812275</v>
      </c>
    </row>
    <row r="45" spans="1:21" ht="15.5" x14ac:dyDescent="0.3">
      <c r="A45" s="5">
        <v>284</v>
      </c>
      <c r="B45" s="5"/>
      <c r="C45" s="5" t="str">
        <f t="shared" ref="C45:C81" si="3">IF(TRIM($B45)&lt;&gt; "",$S45+$T45+$L45+$N45-$M45,"")</f>
        <v/>
      </c>
      <c r="D45" s="5" t="str">
        <f t="shared" ref="D45:D81" si="4">IF(TRIM($B45)= "","",IF($E$4="D. TYPE: UNDER-GRADUATE", IF($C45&gt;=70,"A",IF($C45&gt;=60,"B",IF($C45&gt;=50,"C",IF($C45&gt;=45,"D",IF($C45&gt;=40,"E",IF(TRIM($B45)&lt;&gt; "","F","")))))), IF($E$4="D. TYPE: BASIC",IF($C45&gt;=70,"A",IF($C45&gt;=60,"B",IF( $C45&gt;=50,"C",IF( $C45 &gt;=40,"D",IF(TRIM($B45)&lt;&gt; "","F",""))))), IF($E$4="D. TYPE: CERTIFICATE",IF($C45&gt;=70,"A",IF($C45&gt;=60,"B",IF($C45&gt;=50,"C",IF($C45&gt;=40,"D",IF(TRIM($B45)&lt;&gt; "","F",""))))),  IF($C45&gt;=70,"A",IF($C45&gt;=60,"B",IF($C45&gt;=50,"C",IF(TRIM($B45)&lt;&gt; "","F",""))))))))</f>
        <v/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 t="str">
        <f t="shared" ref="S45:S81" si="5">IF(TRIM($B45)&lt;&gt; "",$F45+$G45+$H45+$I45+$J45+$K45,"")</f>
        <v/>
      </c>
      <c r="T45" s="5"/>
      <c r="U45" s="5">
        <v>2430040</v>
      </c>
    </row>
    <row r="46" spans="1:21" ht="15.5" x14ac:dyDescent="0.3">
      <c r="A46" s="5">
        <v>285</v>
      </c>
      <c r="B46" s="5"/>
      <c r="C46" s="5" t="str">
        <f t="shared" si="3"/>
        <v/>
      </c>
      <c r="D46" s="5" t="str">
        <f t="shared" si="4"/>
        <v/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 t="str">
        <f t="shared" si="5"/>
        <v/>
      </c>
      <c r="T46" s="5"/>
      <c r="U46" s="5">
        <v>2270142</v>
      </c>
    </row>
    <row r="47" spans="1:21" ht="15.5" x14ac:dyDescent="0.3">
      <c r="A47" s="5">
        <v>286</v>
      </c>
      <c r="B47" s="5"/>
      <c r="C47" s="5" t="str">
        <f t="shared" si="3"/>
        <v/>
      </c>
      <c r="D47" s="5" t="str">
        <f t="shared" si="4"/>
        <v/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 t="str">
        <f t="shared" si="5"/>
        <v/>
      </c>
      <c r="T47" s="5"/>
      <c r="U47" s="5">
        <v>2524283</v>
      </c>
    </row>
    <row r="48" spans="1:21" ht="15.5" x14ac:dyDescent="0.3">
      <c r="A48" s="5">
        <v>287</v>
      </c>
      <c r="B48" s="5"/>
      <c r="C48" s="5" t="str">
        <f t="shared" si="3"/>
        <v/>
      </c>
      <c r="D48" s="5" t="str">
        <f t="shared" si="4"/>
        <v/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 t="str">
        <f t="shared" si="5"/>
        <v/>
      </c>
      <c r="T48" s="5"/>
      <c r="U48" s="5">
        <v>2460815</v>
      </c>
    </row>
    <row r="49" spans="1:21" ht="15.5" x14ac:dyDescent="0.3">
      <c r="A49" s="5">
        <v>288</v>
      </c>
      <c r="B49" s="5"/>
      <c r="C49" s="5" t="str">
        <f t="shared" si="3"/>
        <v/>
      </c>
      <c r="D49" s="5" t="str">
        <f t="shared" si="4"/>
        <v/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 t="str">
        <f t="shared" si="5"/>
        <v/>
      </c>
      <c r="T49" s="5"/>
      <c r="U49" s="5">
        <v>1986152</v>
      </c>
    </row>
    <row r="50" spans="1:21" ht="15.5" x14ac:dyDescent="0.3">
      <c r="A50" s="5">
        <v>289</v>
      </c>
      <c r="B50" s="5"/>
      <c r="C50" s="5" t="str">
        <f t="shared" si="3"/>
        <v/>
      </c>
      <c r="D50" s="5" t="str">
        <f t="shared" si="4"/>
        <v/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 t="str">
        <f t="shared" si="5"/>
        <v/>
      </c>
      <c r="T50" s="5"/>
      <c r="U50" s="5">
        <v>2539382</v>
      </c>
    </row>
    <row r="51" spans="1:21" ht="15.5" x14ac:dyDescent="0.3">
      <c r="A51" s="5">
        <v>290</v>
      </c>
      <c r="B51" s="5"/>
      <c r="C51" s="5" t="str">
        <f t="shared" si="3"/>
        <v/>
      </c>
      <c r="D51" s="5" t="str">
        <f t="shared" si="4"/>
        <v/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 t="str">
        <f t="shared" si="5"/>
        <v/>
      </c>
      <c r="T51" s="5"/>
      <c r="U51" s="5">
        <v>2475188</v>
      </c>
    </row>
    <row r="52" spans="1:21" ht="15.5" x14ac:dyDescent="0.3">
      <c r="A52" s="5">
        <v>291</v>
      </c>
      <c r="B52" s="5"/>
      <c r="C52" s="5" t="str">
        <f t="shared" si="3"/>
        <v/>
      </c>
      <c r="D52" s="5" t="str">
        <f t="shared" si="4"/>
        <v/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 t="str">
        <f t="shared" si="5"/>
        <v/>
      </c>
      <c r="T52" s="5"/>
      <c r="U52" s="5">
        <v>1814523</v>
      </c>
    </row>
    <row r="53" spans="1:21" ht="15.5" x14ac:dyDescent="0.3">
      <c r="A53" s="5">
        <v>292</v>
      </c>
      <c r="B53" s="5"/>
      <c r="C53" s="5" t="str">
        <f t="shared" si="3"/>
        <v/>
      </c>
      <c r="D53" s="5" t="str">
        <f t="shared" si="4"/>
        <v/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 t="str">
        <f t="shared" si="5"/>
        <v/>
      </c>
      <c r="T53" s="5"/>
      <c r="U53" s="5">
        <v>2520422</v>
      </c>
    </row>
    <row r="54" spans="1:21" ht="15.5" x14ac:dyDescent="0.3">
      <c r="A54" s="5">
        <v>293</v>
      </c>
      <c r="B54" s="5"/>
      <c r="C54" s="5" t="str">
        <f t="shared" si="3"/>
        <v/>
      </c>
      <c r="D54" s="5" t="str">
        <f t="shared" si="4"/>
        <v/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 t="str">
        <f t="shared" si="5"/>
        <v/>
      </c>
      <c r="T54" s="5"/>
      <c r="U54" s="5">
        <v>2281061</v>
      </c>
    </row>
    <row r="55" spans="1:21" ht="15.5" x14ac:dyDescent="0.3">
      <c r="A55" s="5">
        <v>294</v>
      </c>
      <c r="B55" s="5"/>
      <c r="C55" s="5" t="str">
        <f t="shared" si="3"/>
        <v/>
      </c>
      <c r="D55" s="5" t="str">
        <f t="shared" si="4"/>
        <v/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 t="str">
        <f t="shared" si="5"/>
        <v/>
      </c>
      <c r="T55" s="5"/>
      <c r="U55" s="5">
        <v>2270727</v>
      </c>
    </row>
    <row r="56" spans="1:21" ht="15.5" x14ac:dyDescent="0.3">
      <c r="A56" s="5">
        <v>295</v>
      </c>
      <c r="B56" s="5"/>
      <c r="C56" s="5" t="str">
        <f t="shared" si="3"/>
        <v/>
      </c>
      <c r="D56" s="5" t="str">
        <f t="shared" si="4"/>
        <v/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 t="str">
        <f t="shared" si="5"/>
        <v/>
      </c>
      <c r="T56" s="5"/>
      <c r="U56" s="5">
        <v>2272900</v>
      </c>
    </row>
    <row r="57" spans="1:21" ht="15.5" x14ac:dyDescent="0.3">
      <c r="A57" s="5">
        <v>296</v>
      </c>
      <c r="B57" s="5"/>
      <c r="C57" s="5" t="str">
        <f t="shared" si="3"/>
        <v/>
      </c>
      <c r="D57" s="5" t="str">
        <f t="shared" si="4"/>
        <v/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 t="str">
        <f t="shared" si="5"/>
        <v/>
      </c>
      <c r="T57" s="5"/>
      <c r="U57" s="5">
        <v>2273656</v>
      </c>
    </row>
    <row r="58" spans="1:21" ht="15.5" x14ac:dyDescent="0.3">
      <c r="A58" s="5">
        <v>297</v>
      </c>
      <c r="B58" s="5"/>
      <c r="C58" s="5" t="str">
        <f t="shared" si="3"/>
        <v/>
      </c>
      <c r="D58" s="5" t="str">
        <f t="shared" si="4"/>
        <v/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 t="str">
        <f t="shared" si="5"/>
        <v/>
      </c>
      <c r="T58" s="5"/>
      <c r="U58" s="5">
        <v>1994394</v>
      </c>
    </row>
    <row r="59" spans="1:21" ht="15.5" x14ac:dyDescent="0.3">
      <c r="A59" s="5">
        <v>298</v>
      </c>
      <c r="B59" s="5"/>
      <c r="C59" s="5" t="str">
        <f t="shared" si="3"/>
        <v/>
      </c>
      <c r="D59" s="5" t="str">
        <f t="shared" si="4"/>
        <v/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 t="str">
        <f t="shared" si="5"/>
        <v/>
      </c>
      <c r="T59" s="5"/>
      <c r="U59" s="5">
        <v>2529119</v>
      </c>
    </row>
    <row r="60" spans="1:21" ht="15.5" x14ac:dyDescent="0.3">
      <c r="A60" s="5">
        <v>299</v>
      </c>
      <c r="B60" s="5"/>
      <c r="C60" s="5" t="str">
        <f t="shared" si="3"/>
        <v/>
      </c>
      <c r="D60" s="5" t="str">
        <f t="shared" si="4"/>
        <v/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 t="str">
        <f t="shared" si="5"/>
        <v/>
      </c>
      <c r="T60" s="5"/>
      <c r="U60" s="5">
        <v>2290899</v>
      </c>
    </row>
    <row r="61" spans="1:21" ht="15.5" x14ac:dyDescent="0.3">
      <c r="A61" s="5">
        <v>300</v>
      </c>
      <c r="B61" s="5"/>
      <c r="C61" s="5" t="str">
        <f t="shared" si="3"/>
        <v/>
      </c>
      <c r="D61" s="5" t="str">
        <f t="shared" si="4"/>
        <v/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 t="str">
        <f t="shared" si="5"/>
        <v/>
      </c>
      <c r="T61" s="5"/>
      <c r="U61" s="5">
        <v>2275154</v>
      </c>
    </row>
    <row r="62" spans="1:21" ht="15.5" x14ac:dyDescent="0.3">
      <c r="A62" s="5">
        <v>301</v>
      </c>
      <c r="B62" s="5"/>
      <c r="C62" s="5" t="str">
        <f t="shared" si="3"/>
        <v/>
      </c>
      <c r="D62" s="5" t="str">
        <f t="shared" si="4"/>
        <v/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 t="str">
        <f t="shared" si="5"/>
        <v/>
      </c>
      <c r="T62" s="5"/>
      <c r="U62" s="5">
        <v>1890469</v>
      </c>
    </row>
    <row r="63" spans="1:21" ht="15.5" x14ac:dyDescent="0.3">
      <c r="A63" s="5">
        <v>302</v>
      </c>
      <c r="B63" s="5"/>
      <c r="C63" s="5" t="str">
        <f t="shared" si="3"/>
        <v/>
      </c>
      <c r="D63" s="5" t="str">
        <f t="shared" si="4"/>
        <v/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 t="str">
        <f t="shared" si="5"/>
        <v/>
      </c>
      <c r="T63" s="5"/>
      <c r="U63" s="5">
        <v>2275826</v>
      </c>
    </row>
    <row r="64" spans="1:21" ht="15.5" x14ac:dyDescent="0.3">
      <c r="A64" s="5">
        <v>303</v>
      </c>
      <c r="B64" s="5"/>
      <c r="C64" s="5" t="str">
        <f t="shared" si="3"/>
        <v/>
      </c>
      <c r="D64" s="5" t="str">
        <f t="shared" si="4"/>
        <v/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 t="str">
        <f t="shared" si="5"/>
        <v/>
      </c>
      <c r="T64" s="5"/>
      <c r="U64" s="5">
        <v>2301245</v>
      </c>
    </row>
    <row r="65" spans="1:21" ht="15.5" x14ac:dyDescent="0.3">
      <c r="A65" s="5">
        <v>304</v>
      </c>
      <c r="B65" s="5"/>
      <c r="C65" s="5" t="str">
        <f t="shared" si="3"/>
        <v/>
      </c>
      <c r="D65" s="5" t="str">
        <f t="shared" si="4"/>
        <v/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 t="str">
        <f t="shared" si="5"/>
        <v/>
      </c>
      <c r="T65" s="5"/>
      <c r="U65" s="5">
        <v>2520052</v>
      </c>
    </row>
    <row r="66" spans="1:21" ht="15.5" x14ac:dyDescent="0.3">
      <c r="A66" s="5">
        <v>305</v>
      </c>
      <c r="B66" s="5"/>
      <c r="C66" s="5" t="str">
        <f t="shared" si="3"/>
        <v/>
      </c>
      <c r="D66" s="5" t="str">
        <f t="shared" si="4"/>
        <v/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 t="str">
        <f t="shared" si="5"/>
        <v/>
      </c>
      <c r="T66" s="5"/>
      <c r="U66" s="5">
        <v>2520623</v>
      </c>
    </row>
    <row r="67" spans="1:21" ht="15.5" x14ac:dyDescent="0.3">
      <c r="A67" s="5">
        <v>306</v>
      </c>
      <c r="B67" s="5"/>
      <c r="C67" s="5" t="str">
        <f t="shared" si="3"/>
        <v/>
      </c>
      <c r="D67" s="5" t="str">
        <f t="shared" si="4"/>
        <v/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 t="str">
        <f t="shared" si="5"/>
        <v/>
      </c>
      <c r="T67" s="5"/>
      <c r="U67" s="5">
        <v>2475584</v>
      </c>
    </row>
    <row r="68" spans="1:21" ht="15.5" x14ac:dyDescent="0.3">
      <c r="A68" s="5">
        <v>307</v>
      </c>
      <c r="B68" s="5"/>
      <c r="C68" s="5" t="str">
        <f t="shared" si="3"/>
        <v/>
      </c>
      <c r="D68" s="5" t="str">
        <f t="shared" si="4"/>
        <v/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 t="str">
        <f t="shared" si="5"/>
        <v/>
      </c>
      <c r="T68" s="5"/>
      <c r="U68" s="5">
        <v>2544787</v>
      </c>
    </row>
    <row r="69" spans="1:21" ht="15.5" x14ac:dyDescent="0.3">
      <c r="A69" s="5">
        <v>308</v>
      </c>
      <c r="B69" s="5"/>
      <c r="C69" s="5" t="str">
        <f t="shared" si="3"/>
        <v/>
      </c>
      <c r="D69" s="5" t="str">
        <f t="shared" si="4"/>
        <v/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 t="str">
        <f t="shared" si="5"/>
        <v/>
      </c>
      <c r="T69" s="5"/>
      <c r="U69" s="5">
        <v>2530654</v>
      </c>
    </row>
    <row r="70" spans="1:21" ht="15.5" x14ac:dyDescent="0.3">
      <c r="A70" s="5">
        <v>309</v>
      </c>
      <c r="B70" s="5"/>
      <c r="C70" s="5" t="str">
        <f t="shared" si="3"/>
        <v/>
      </c>
      <c r="D70" s="5" t="str">
        <f t="shared" si="4"/>
        <v/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 t="str">
        <f t="shared" si="5"/>
        <v/>
      </c>
      <c r="T70" s="5"/>
      <c r="U70" s="5">
        <v>1893127</v>
      </c>
    </row>
    <row r="71" spans="1:21" ht="15.5" x14ac:dyDescent="0.3">
      <c r="A71" s="5">
        <v>310</v>
      </c>
      <c r="B71" s="5"/>
      <c r="C71" s="5" t="str">
        <f t="shared" si="3"/>
        <v/>
      </c>
      <c r="D71" s="5" t="str">
        <f t="shared" si="4"/>
        <v/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 t="str">
        <f t="shared" si="5"/>
        <v/>
      </c>
      <c r="T71" s="5"/>
      <c r="U71" s="5">
        <v>2476026</v>
      </c>
    </row>
    <row r="72" spans="1:21" ht="15.5" x14ac:dyDescent="0.3">
      <c r="A72" s="5">
        <v>311</v>
      </c>
      <c r="B72" s="5"/>
      <c r="C72" s="5" t="str">
        <f t="shared" si="3"/>
        <v/>
      </c>
      <c r="D72" s="5" t="str">
        <f t="shared" si="4"/>
        <v/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 t="str">
        <f t="shared" si="5"/>
        <v/>
      </c>
      <c r="T72" s="5"/>
      <c r="U72" s="5">
        <v>2553326</v>
      </c>
    </row>
    <row r="73" spans="1:21" ht="15.5" x14ac:dyDescent="0.3">
      <c r="A73" s="5">
        <v>312</v>
      </c>
      <c r="B73" s="5"/>
      <c r="C73" s="5" t="str">
        <f t="shared" si="3"/>
        <v/>
      </c>
      <c r="D73" s="5" t="str">
        <f t="shared" si="4"/>
        <v/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 t="str">
        <f t="shared" si="5"/>
        <v/>
      </c>
      <c r="T73" s="5"/>
      <c r="U73" s="5">
        <v>2533799</v>
      </c>
    </row>
    <row r="74" spans="1:21" ht="15.5" x14ac:dyDescent="0.3">
      <c r="A74" s="5">
        <v>313</v>
      </c>
      <c r="B74" s="5"/>
      <c r="C74" s="5" t="str">
        <f t="shared" si="3"/>
        <v/>
      </c>
      <c r="D74" s="5" t="str">
        <f t="shared" si="4"/>
        <v/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 t="str">
        <f t="shared" si="5"/>
        <v/>
      </c>
      <c r="T74" s="5"/>
      <c r="U74" s="5">
        <v>2509282</v>
      </c>
    </row>
    <row r="75" spans="1:21" ht="15.5" x14ac:dyDescent="0.3">
      <c r="A75" s="5">
        <v>314</v>
      </c>
      <c r="B75" s="5"/>
      <c r="C75" s="5" t="str">
        <f t="shared" si="3"/>
        <v/>
      </c>
      <c r="D75" s="5" t="str">
        <f t="shared" si="4"/>
        <v/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 t="str">
        <f t="shared" si="5"/>
        <v/>
      </c>
      <c r="T75" s="5"/>
      <c r="U75" s="5">
        <v>2531477</v>
      </c>
    </row>
    <row r="76" spans="1:21" ht="15.5" x14ac:dyDescent="0.3">
      <c r="A76" s="5">
        <v>315</v>
      </c>
      <c r="B76" s="5"/>
      <c r="C76" s="5" t="str">
        <f t="shared" si="3"/>
        <v/>
      </c>
      <c r="D76" s="5" t="str">
        <f t="shared" si="4"/>
        <v/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 t="str">
        <f t="shared" si="5"/>
        <v/>
      </c>
      <c r="T76" s="5"/>
      <c r="U76" s="5">
        <v>2476041</v>
      </c>
    </row>
    <row r="77" spans="1:21" ht="15.5" x14ac:dyDescent="0.3">
      <c r="A77" s="5">
        <v>316</v>
      </c>
      <c r="B77" s="5"/>
      <c r="C77" s="5" t="str">
        <f t="shared" si="3"/>
        <v/>
      </c>
      <c r="D77" s="5" t="str">
        <f t="shared" si="4"/>
        <v/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 t="str">
        <f t="shared" si="5"/>
        <v/>
      </c>
      <c r="T77" s="5"/>
      <c r="U77" s="5">
        <v>2476056</v>
      </c>
    </row>
    <row r="78" spans="1:21" ht="15.5" x14ac:dyDescent="0.3">
      <c r="A78" s="5">
        <v>317</v>
      </c>
      <c r="B78" s="5"/>
      <c r="C78" s="5" t="str">
        <f t="shared" si="3"/>
        <v/>
      </c>
      <c r="D78" s="5" t="str">
        <f t="shared" si="4"/>
        <v/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 t="str">
        <f t="shared" si="5"/>
        <v/>
      </c>
      <c r="T78" s="5"/>
      <c r="U78" s="5">
        <v>1806111</v>
      </c>
    </row>
    <row r="79" spans="1:21" ht="15.5" x14ac:dyDescent="0.3">
      <c r="A79" s="5">
        <v>318</v>
      </c>
      <c r="B79" s="5"/>
      <c r="C79" s="5" t="str">
        <f t="shared" si="3"/>
        <v/>
      </c>
      <c r="D79" s="5" t="str">
        <f t="shared" si="4"/>
        <v/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 t="str">
        <f t="shared" si="5"/>
        <v/>
      </c>
      <c r="T79" s="5"/>
      <c r="U79" s="5">
        <v>1798337</v>
      </c>
    </row>
    <row r="80" spans="1:21" ht="15.5" x14ac:dyDescent="0.3">
      <c r="A80" s="5">
        <v>319</v>
      </c>
      <c r="B80" s="5"/>
      <c r="C80" s="5" t="str">
        <f t="shared" si="3"/>
        <v/>
      </c>
      <c r="D80" s="5" t="str">
        <f t="shared" si="4"/>
        <v/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 t="str">
        <f t="shared" si="5"/>
        <v/>
      </c>
      <c r="T80" s="5"/>
      <c r="U80" s="5">
        <v>2272755</v>
      </c>
    </row>
    <row r="81" spans="1:21" ht="15.5" x14ac:dyDescent="0.3">
      <c r="A81" s="5">
        <v>320</v>
      </c>
      <c r="B81" s="5"/>
      <c r="C81" s="5" t="str">
        <f t="shared" si="3"/>
        <v/>
      </c>
      <c r="D81" s="5" t="str">
        <f t="shared" si="4"/>
        <v/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 t="str">
        <f t="shared" si="5"/>
        <v/>
      </c>
      <c r="T81" s="5"/>
      <c r="U81" s="5">
        <v>2272883</v>
      </c>
    </row>
    <row r="82" spans="1:21" ht="15.5" x14ac:dyDescent="0.3">
      <c r="A82" s="5">
        <v>321</v>
      </c>
      <c r="B82" s="5"/>
      <c r="C82" s="5" t="str">
        <f t="shared" ref="C82:C145" si="6">IF(TRIM($B82)&lt;&gt; "",$S82+$T82+$L82+$N82-$M82,"")</f>
        <v/>
      </c>
      <c r="D82" s="5" t="str">
        <f t="shared" ref="D82:D145" si="7">IF(TRIM($B82)= "","",IF($E$4="D. TYPE: UNDER-GRADUATE", IF($C82&gt;=70,"A",IF($C82&gt;=60,"B",IF($C82&gt;=50,"C",IF($C82&gt;=45,"D",IF($C82&gt;=40,"E",IF(TRIM($B82)&lt;&gt; "","F","")))))), IF($E$4="D. TYPE: BASIC",IF($C82&gt;=70,"A",IF($C82&gt;=60,"B",IF( $C82&gt;=50,"C",IF( $C82 &gt;=40,"D",IF(TRIM($B82)&lt;&gt; "","F",""))))), IF($E$4="D. TYPE: CERTIFICATE",IF($C82&gt;=70,"A",IF($C82&gt;=60,"B",IF($C82&gt;=50,"C",IF($C82&gt;=40,"D",IF(TRIM($B82)&lt;&gt; "","F",""))))),  IF($C82&gt;=70,"A",IF($C82&gt;=60,"B",IF($C82&gt;=50,"C",IF(TRIM($B82)&lt;&gt; "","F",""))))))))</f>
        <v/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 t="str">
        <f t="shared" ref="S82:S145" si="8">IF(TRIM($B82)&lt;&gt; "",$F82+$G82+$H82+$I82+$J82+$K82,"")</f>
        <v/>
      </c>
      <c r="T82" s="5"/>
      <c r="U82" s="5"/>
    </row>
    <row r="83" spans="1:21" ht="15.5" x14ac:dyDescent="0.3">
      <c r="A83" s="5">
        <v>322</v>
      </c>
      <c r="B83" s="5"/>
      <c r="C83" s="5" t="str">
        <f t="shared" si="6"/>
        <v/>
      </c>
      <c r="D83" s="5" t="str">
        <f t="shared" si="7"/>
        <v/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 t="str">
        <f t="shared" si="8"/>
        <v/>
      </c>
      <c r="T83" s="5"/>
      <c r="U83" s="5"/>
    </row>
    <row r="84" spans="1:21" ht="15.5" x14ac:dyDescent="0.3">
      <c r="A84" s="5">
        <v>323</v>
      </c>
      <c r="B84" s="5"/>
      <c r="C84" s="5" t="str">
        <f t="shared" si="6"/>
        <v/>
      </c>
      <c r="D84" s="5" t="str">
        <f t="shared" si="7"/>
        <v/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 t="str">
        <f t="shared" si="8"/>
        <v/>
      </c>
      <c r="T84" s="5"/>
      <c r="U84" s="5"/>
    </row>
    <row r="85" spans="1:21" ht="15.5" x14ac:dyDescent="0.3">
      <c r="A85" s="5">
        <v>324</v>
      </c>
      <c r="B85" s="5"/>
      <c r="C85" s="5" t="str">
        <f t="shared" si="6"/>
        <v/>
      </c>
      <c r="D85" s="5" t="str">
        <f t="shared" si="7"/>
        <v/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 t="str">
        <f t="shared" si="8"/>
        <v/>
      </c>
      <c r="T85" s="5"/>
      <c r="U85" s="5"/>
    </row>
    <row r="86" spans="1:21" ht="15.5" x14ac:dyDescent="0.3">
      <c r="A86" s="5">
        <v>325</v>
      </c>
      <c r="B86" s="5"/>
      <c r="C86" s="5" t="str">
        <f t="shared" si="6"/>
        <v/>
      </c>
      <c r="D86" s="5" t="str">
        <f t="shared" si="7"/>
        <v/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 t="str">
        <f t="shared" si="8"/>
        <v/>
      </c>
      <c r="T86" s="5"/>
      <c r="U86" s="5"/>
    </row>
    <row r="87" spans="1:21" ht="15.5" x14ac:dyDescent="0.3">
      <c r="A87" s="5">
        <v>326</v>
      </c>
      <c r="B87" s="5"/>
      <c r="C87" s="5" t="str">
        <f t="shared" si="6"/>
        <v/>
      </c>
      <c r="D87" s="5" t="str">
        <f t="shared" si="7"/>
        <v/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 t="str">
        <f t="shared" si="8"/>
        <v/>
      </c>
      <c r="T87" s="5"/>
      <c r="U87" s="5"/>
    </row>
    <row r="88" spans="1:21" ht="15.5" x14ac:dyDescent="0.3">
      <c r="A88" s="5">
        <v>327</v>
      </c>
      <c r="B88" s="5"/>
      <c r="C88" s="5" t="str">
        <f t="shared" si="6"/>
        <v/>
      </c>
      <c r="D88" s="5" t="str">
        <f t="shared" si="7"/>
        <v/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 t="str">
        <f t="shared" si="8"/>
        <v/>
      </c>
      <c r="T88" s="5"/>
      <c r="U88" s="5"/>
    </row>
    <row r="89" spans="1:21" ht="15.5" x14ac:dyDescent="0.3">
      <c r="A89" s="5">
        <v>328</v>
      </c>
      <c r="B89" s="5"/>
      <c r="C89" s="5" t="str">
        <f t="shared" si="6"/>
        <v/>
      </c>
      <c r="D89" s="5" t="str">
        <f t="shared" si="7"/>
        <v/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 t="str">
        <f t="shared" si="8"/>
        <v/>
      </c>
      <c r="T89" s="5"/>
      <c r="U89" s="5"/>
    </row>
    <row r="90" spans="1:21" ht="15.5" x14ac:dyDescent="0.3">
      <c r="A90" s="5">
        <v>329</v>
      </c>
      <c r="B90" s="5"/>
      <c r="C90" s="5" t="str">
        <f t="shared" si="6"/>
        <v/>
      </c>
      <c r="D90" s="5" t="str">
        <f t="shared" si="7"/>
        <v/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 t="str">
        <f t="shared" si="8"/>
        <v/>
      </c>
      <c r="T90" s="5"/>
      <c r="U90" s="5"/>
    </row>
    <row r="91" spans="1:21" ht="15.5" x14ac:dyDescent="0.3">
      <c r="A91" s="5">
        <v>330</v>
      </c>
      <c r="B91" s="5"/>
      <c r="C91" s="5" t="str">
        <f t="shared" si="6"/>
        <v/>
      </c>
      <c r="D91" s="5" t="str">
        <f t="shared" si="7"/>
        <v/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 t="str">
        <f t="shared" si="8"/>
        <v/>
      </c>
      <c r="T91" s="5"/>
      <c r="U91" s="5"/>
    </row>
    <row r="92" spans="1:21" ht="15.5" x14ac:dyDescent="0.3">
      <c r="A92" s="5">
        <v>331</v>
      </c>
      <c r="B92" s="5"/>
      <c r="C92" s="5" t="str">
        <f t="shared" si="6"/>
        <v/>
      </c>
      <c r="D92" s="5" t="str">
        <f t="shared" si="7"/>
        <v/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 t="str">
        <f t="shared" si="8"/>
        <v/>
      </c>
      <c r="T92" s="5"/>
      <c r="U92" s="5"/>
    </row>
    <row r="93" spans="1:21" ht="15.5" x14ac:dyDescent="0.3">
      <c r="A93" s="5">
        <v>332</v>
      </c>
      <c r="B93" s="5"/>
      <c r="C93" s="5" t="str">
        <f t="shared" si="6"/>
        <v/>
      </c>
      <c r="D93" s="5" t="str">
        <f t="shared" si="7"/>
        <v/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 t="str">
        <f t="shared" si="8"/>
        <v/>
      </c>
      <c r="T93" s="5"/>
      <c r="U93" s="5"/>
    </row>
    <row r="94" spans="1:21" ht="15.5" x14ac:dyDescent="0.3">
      <c r="A94" s="5">
        <v>333</v>
      </c>
      <c r="B94" s="5"/>
      <c r="C94" s="5" t="str">
        <f t="shared" si="6"/>
        <v/>
      </c>
      <c r="D94" s="5" t="str">
        <f t="shared" si="7"/>
        <v/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 t="str">
        <f t="shared" si="8"/>
        <v/>
      </c>
      <c r="T94" s="5"/>
      <c r="U94" s="5"/>
    </row>
    <row r="95" spans="1:21" ht="15.5" x14ac:dyDescent="0.3">
      <c r="A95" s="5">
        <v>334</v>
      </c>
      <c r="B95" s="5"/>
      <c r="C95" s="5" t="str">
        <f t="shared" si="6"/>
        <v/>
      </c>
      <c r="D95" s="5" t="str">
        <f t="shared" si="7"/>
        <v/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 t="str">
        <f t="shared" si="8"/>
        <v/>
      </c>
      <c r="T95" s="5"/>
      <c r="U95" s="5"/>
    </row>
    <row r="96" spans="1:21" ht="15.5" x14ac:dyDescent="0.3">
      <c r="A96" s="5">
        <v>335</v>
      </c>
      <c r="B96" s="5"/>
      <c r="C96" s="5" t="str">
        <f t="shared" si="6"/>
        <v/>
      </c>
      <c r="D96" s="5" t="str">
        <f t="shared" si="7"/>
        <v/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 t="str">
        <f t="shared" si="8"/>
        <v/>
      </c>
      <c r="T96" s="5"/>
      <c r="U96" s="5"/>
    </row>
    <row r="97" spans="1:21" ht="15.5" x14ac:dyDescent="0.3">
      <c r="A97" s="5">
        <v>336</v>
      </c>
      <c r="B97" s="5"/>
      <c r="C97" s="5" t="str">
        <f t="shared" si="6"/>
        <v/>
      </c>
      <c r="D97" s="5" t="str">
        <f t="shared" si="7"/>
        <v/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 t="str">
        <f t="shared" si="8"/>
        <v/>
      </c>
      <c r="T97" s="5"/>
      <c r="U97" s="5"/>
    </row>
    <row r="98" spans="1:21" ht="15.5" x14ac:dyDescent="0.3">
      <c r="A98" s="5">
        <v>337</v>
      </c>
      <c r="B98" s="5"/>
      <c r="C98" s="5" t="str">
        <f t="shared" si="6"/>
        <v/>
      </c>
      <c r="D98" s="5" t="str">
        <f t="shared" si="7"/>
        <v/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 t="str">
        <f t="shared" si="8"/>
        <v/>
      </c>
      <c r="T98" s="5"/>
      <c r="U98" s="5"/>
    </row>
    <row r="99" spans="1:21" ht="15.5" x14ac:dyDescent="0.3">
      <c r="A99" s="5">
        <v>338</v>
      </c>
      <c r="B99" s="5"/>
      <c r="C99" s="5" t="str">
        <f t="shared" si="6"/>
        <v/>
      </c>
      <c r="D99" s="5" t="str">
        <f t="shared" si="7"/>
        <v/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 t="str">
        <f t="shared" si="8"/>
        <v/>
      </c>
      <c r="T99" s="5"/>
      <c r="U99" s="5"/>
    </row>
    <row r="100" spans="1:21" ht="15.5" x14ac:dyDescent="0.3">
      <c r="A100" s="5">
        <v>339</v>
      </c>
      <c r="B100" s="5"/>
      <c r="C100" s="5" t="str">
        <f t="shared" si="6"/>
        <v/>
      </c>
      <c r="D100" s="5" t="str">
        <f t="shared" si="7"/>
        <v/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 t="str">
        <f t="shared" si="8"/>
        <v/>
      </c>
      <c r="T100" s="5"/>
      <c r="U100" s="5"/>
    </row>
    <row r="101" spans="1:21" ht="15.5" x14ac:dyDescent="0.3">
      <c r="A101" s="5">
        <v>340</v>
      </c>
      <c r="B101" s="5"/>
      <c r="C101" s="5" t="str">
        <f t="shared" si="6"/>
        <v/>
      </c>
      <c r="D101" s="5" t="str">
        <f t="shared" si="7"/>
        <v/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 t="str">
        <f t="shared" si="8"/>
        <v/>
      </c>
      <c r="T101" s="5"/>
      <c r="U101" s="5"/>
    </row>
    <row r="102" spans="1:21" ht="15.5" x14ac:dyDescent="0.3">
      <c r="A102" s="5">
        <v>341</v>
      </c>
      <c r="B102" s="5"/>
      <c r="C102" s="5" t="str">
        <f t="shared" si="6"/>
        <v/>
      </c>
      <c r="D102" s="5" t="str">
        <f t="shared" si="7"/>
        <v/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 t="str">
        <f t="shared" si="8"/>
        <v/>
      </c>
      <c r="T102" s="5"/>
      <c r="U102" s="5"/>
    </row>
    <row r="103" spans="1:21" ht="15.5" x14ac:dyDescent="0.3">
      <c r="A103" s="5">
        <v>342</v>
      </c>
      <c r="B103" s="5"/>
      <c r="C103" s="5" t="str">
        <f t="shared" si="6"/>
        <v/>
      </c>
      <c r="D103" s="5" t="str">
        <f t="shared" si="7"/>
        <v/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 t="str">
        <f t="shared" si="8"/>
        <v/>
      </c>
      <c r="T103" s="5"/>
      <c r="U103" s="5"/>
    </row>
    <row r="104" spans="1:21" ht="15.5" x14ac:dyDescent="0.3">
      <c r="A104" s="5">
        <v>343</v>
      </c>
      <c r="B104" s="5"/>
      <c r="C104" s="5" t="str">
        <f t="shared" si="6"/>
        <v/>
      </c>
      <c r="D104" s="5" t="str">
        <f t="shared" si="7"/>
        <v/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 t="str">
        <f t="shared" si="8"/>
        <v/>
      </c>
      <c r="T104" s="5"/>
      <c r="U104" s="5"/>
    </row>
    <row r="105" spans="1:21" ht="15.5" x14ac:dyDescent="0.3">
      <c r="A105" s="5">
        <v>344</v>
      </c>
      <c r="B105" s="5"/>
      <c r="C105" s="5" t="str">
        <f t="shared" si="6"/>
        <v/>
      </c>
      <c r="D105" s="5" t="str">
        <f t="shared" si="7"/>
        <v/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 t="str">
        <f t="shared" si="8"/>
        <v/>
      </c>
      <c r="T105" s="5"/>
      <c r="U105" s="5"/>
    </row>
    <row r="106" spans="1:21" ht="15.5" x14ac:dyDescent="0.3">
      <c r="A106" s="5">
        <v>345</v>
      </c>
      <c r="B106" s="5"/>
      <c r="C106" s="5" t="str">
        <f t="shared" si="6"/>
        <v/>
      </c>
      <c r="D106" s="5" t="str">
        <f t="shared" si="7"/>
        <v/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 t="str">
        <f t="shared" si="8"/>
        <v/>
      </c>
      <c r="T106" s="5"/>
      <c r="U106" s="5"/>
    </row>
    <row r="107" spans="1:21" ht="15.5" x14ac:dyDescent="0.3">
      <c r="A107" s="5">
        <v>346</v>
      </c>
      <c r="B107" s="5"/>
      <c r="C107" s="5" t="str">
        <f t="shared" si="6"/>
        <v/>
      </c>
      <c r="D107" s="5" t="str">
        <f t="shared" si="7"/>
        <v/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 t="str">
        <f t="shared" si="8"/>
        <v/>
      </c>
      <c r="T107" s="5"/>
      <c r="U107" s="5"/>
    </row>
    <row r="108" spans="1:21" ht="15.5" x14ac:dyDescent="0.3">
      <c r="A108" s="5">
        <v>347</v>
      </c>
      <c r="B108" s="5"/>
      <c r="C108" s="5" t="str">
        <f t="shared" si="6"/>
        <v/>
      </c>
      <c r="D108" s="5" t="str">
        <f t="shared" si="7"/>
        <v/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 t="str">
        <f t="shared" si="8"/>
        <v/>
      </c>
      <c r="T108" s="5"/>
      <c r="U108" s="5"/>
    </row>
    <row r="109" spans="1:21" ht="15.5" x14ac:dyDescent="0.3">
      <c r="A109" s="5">
        <v>348</v>
      </c>
      <c r="B109" s="5"/>
      <c r="C109" s="5" t="str">
        <f t="shared" si="6"/>
        <v/>
      </c>
      <c r="D109" s="5" t="str">
        <f t="shared" si="7"/>
        <v/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 t="str">
        <f t="shared" si="8"/>
        <v/>
      </c>
      <c r="T109" s="5"/>
      <c r="U109" s="5"/>
    </row>
    <row r="110" spans="1:21" ht="15.5" x14ac:dyDescent="0.3">
      <c r="A110" s="5">
        <v>349</v>
      </c>
      <c r="B110" s="5"/>
      <c r="C110" s="5" t="str">
        <f t="shared" si="6"/>
        <v/>
      </c>
      <c r="D110" s="5" t="str">
        <f t="shared" si="7"/>
        <v/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 t="str">
        <f t="shared" si="8"/>
        <v/>
      </c>
      <c r="T110" s="5"/>
      <c r="U110" s="5"/>
    </row>
    <row r="111" spans="1:21" ht="15.5" x14ac:dyDescent="0.3">
      <c r="A111" s="5">
        <v>350</v>
      </c>
      <c r="B111" s="5"/>
      <c r="C111" s="5" t="str">
        <f t="shared" si="6"/>
        <v/>
      </c>
      <c r="D111" s="5" t="str">
        <f t="shared" si="7"/>
        <v/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 t="str">
        <f t="shared" si="8"/>
        <v/>
      </c>
      <c r="T111" s="5"/>
      <c r="U111" s="5"/>
    </row>
    <row r="112" spans="1:21" ht="15.5" x14ac:dyDescent="0.3">
      <c r="A112" s="5">
        <v>351</v>
      </c>
      <c r="B112" s="5"/>
      <c r="C112" s="5" t="str">
        <f t="shared" si="6"/>
        <v/>
      </c>
      <c r="D112" s="5" t="str">
        <f t="shared" si="7"/>
        <v/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 t="str">
        <f t="shared" si="8"/>
        <v/>
      </c>
      <c r="T112" s="5"/>
      <c r="U112" s="5"/>
    </row>
    <row r="113" spans="1:21" ht="15.5" x14ac:dyDescent="0.3">
      <c r="A113" s="5">
        <v>352</v>
      </c>
      <c r="B113" s="5"/>
      <c r="C113" s="5" t="str">
        <f t="shared" si="6"/>
        <v/>
      </c>
      <c r="D113" s="5" t="str">
        <f t="shared" si="7"/>
        <v/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 t="str">
        <f t="shared" si="8"/>
        <v/>
      </c>
      <c r="T113" s="5"/>
      <c r="U113" s="5"/>
    </row>
    <row r="114" spans="1:21" ht="15.5" x14ac:dyDescent="0.3">
      <c r="A114" s="5">
        <v>353</v>
      </c>
      <c r="B114" s="5"/>
      <c r="C114" s="5" t="str">
        <f t="shared" si="6"/>
        <v/>
      </c>
      <c r="D114" s="5" t="str">
        <f t="shared" si="7"/>
        <v/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 t="str">
        <f t="shared" si="8"/>
        <v/>
      </c>
      <c r="T114" s="5"/>
      <c r="U114" s="5"/>
    </row>
    <row r="115" spans="1:21" ht="15.5" x14ac:dyDescent="0.3">
      <c r="A115" s="5">
        <v>354</v>
      </c>
      <c r="B115" s="5"/>
      <c r="C115" s="5" t="str">
        <f t="shared" si="6"/>
        <v/>
      </c>
      <c r="D115" s="5" t="str">
        <f t="shared" si="7"/>
        <v/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 t="str">
        <f t="shared" si="8"/>
        <v/>
      </c>
      <c r="T115" s="5"/>
      <c r="U115" s="5"/>
    </row>
    <row r="116" spans="1:21" ht="15.5" x14ac:dyDescent="0.3">
      <c r="A116" s="5">
        <v>355</v>
      </c>
      <c r="B116" s="5"/>
      <c r="C116" s="5" t="str">
        <f t="shared" si="6"/>
        <v/>
      </c>
      <c r="D116" s="5" t="str">
        <f t="shared" si="7"/>
        <v/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 t="str">
        <f t="shared" si="8"/>
        <v/>
      </c>
      <c r="T116" s="5"/>
      <c r="U116" s="5"/>
    </row>
    <row r="117" spans="1:21" ht="15.5" x14ac:dyDescent="0.3">
      <c r="A117" s="5">
        <v>356</v>
      </c>
      <c r="B117" s="5"/>
      <c r="C117" s="5" t="str">
        <f t="shared" si="6"/>
        <v/>
      </c>
      <c r="D117" s="5" t="str">
        <f t="shared" si="7"/>
        <v/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 t="str">
        <f t="shared" si="8"/>
        <v/>
      </c>
      <c r="T117" s="5"/>
      <c r="U117" s="5"/>
    </row>
    <row r="118" spans="1:21" ht="15.5" x14ac:dyDescent="0.3">
      <c r="A118" s="5">
        <v>357</v>
      </c>
      <c r="B118" s="5"/>
      <c r="C118" s="5" t="str">
        <f t="shared" si="6"/>
        <v/>
      </c>
      <c r="D118" s="5" t="str">
        <f t="shared" si="7"/>
        <v/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 t="str">
        <f t="shared" si="8"/>
        <v/>
      </c>
      <c r="T118" s="5"/>
      <c r="U118" s="5"/>
    </row>
    <row r="119" spans="1:21" ht="15.5" x14ac:dyDescent="0.3">
      <c r="A119" s="5">
        <v>358</v>
      </c>
      <c r="B119" s="5"/>
      <c r="C119" s="5" t="str">
        <f t="shared" si="6"/>
        <v/>
      </c>
      <c r="D119" s="5" t="str">
        <f t="shared" si="7"/>
        <v/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 t="str">
        <f t="shared" si="8"/>
        <v/>
      </c>
      <c r="T119" s="5"/>
      <c r="U119" s="5"/>
    </row>
    <row r="120" spans="1:21" ht="15.5" x14ac:dyDescent="0.3">
      <c r="A120" s="5">
        <v>359</v>
      </c>
      <c r="B120" s="5"/>
      <c r="C120" s="5" t="str">
        <f t="shared" si="6"/>
        <v/>
      </c>
      <c r="D120" s="5" t="str">
        <f t="shared" si="7"/>
        <v/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 t="str">
        <f t="shared" si="8"/>
        <v/>
      </c>
      <c r="T120" s="5"/>
      <c r="U120" s="5"/>
    </row>
    <row r="121" spans="1:21" ht="15.5" x14ac:dyDescent="0.3">
      <c r="A121" s="5">
        <v>360</v>
      </c>
      <c r="B121" s="5"/>
      <c r="C121" s="5" t="str">
        <f t="shared" si="6"/>
        <v/>
      </c>
      <c r="D121" s="5" t="str">
        <f t="shared" si="7"/>
        <v/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 t="str">
        <f t="shared" si="8"/>
        <v/>
      </c>
      <c r="T121" s="5"/>
      <c r="U121" s="5"/>
    </row>
    <row r="122" spans="1:21" ht="15.5" x14ac:dyDescent="0.3">
      <c r="A122" s="5">
        <v>361</v>
      </c>
      <c r="B122" s="5"/>
      <c r="C122" s="5" t="str">
        <f t="shared" si="6"/>
        <v/>
      </c>
      <c r="D122" s="5" t="str">
        <f t="shared" si="7"/>
        <v/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 t="str">
        <f t="shared" si="8"/>
        <v/>
      </c>
      <c r="T122" s="5"/>
      <c r="U122" s="5"/>
    </row>
    <row r="123" spans="1:21" ht="15.5" x14ac:dyDescent="0.3">
      <c r="A123" s="5">
        <v>362</v>
      </c>
      <c r="B123" s="5"/>
      <c r="C123" s="5" t="str">
        <f t="shared" si="6"/>
        <v/>
      </c>
      <c r="D123" s="5" t="str">
        <f t="shared" si="7"/>
        <v/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 t="str">
        <f t="shared" si="8"/>
        <v/>
      </c>
      <c r="T123" s="5"/>
      <c r="U123" s="5"/>
    </row>
    <row r="124" spans="1:21" ht="15.5" x14ac:dyDescent="0.3">
      <c r="A124" s="5">
        <v>363</v>
      </c>
      <c r="B124" s="5"/>
      <c r="C124" s="5" t="str">
        <f t="shared" si="6"/>
        <v/>
      </c>
      <c r="D124" s="5" t="str">
        <f t="shared" si="7"/>
        <v/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 t="str">
        <f t="shared" si="8"/>
        <v/>
      </c>
      <c r="T124" s="5"/>
      <c r="U124" s="5"/>
    </row>
    <row r="125" spans="1:21" ht="15.5" x14ac:dyDescent="0.3">
      <c r="A125" s="5">
        <v>364</v>
      </c>
      <c r="B125" s="5"/>
      <c r="C125" s="5" t="str">
        <f t="shared" si="6"/>
        <v/>
      </c>
      <c r="D125" s="5" t="str">
        <f t="shared" si="7"/>
        <v/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 t="str">
        <f t="shared" si="8"/>
        <v/>
      </c>
      <c r="T125" s="5"/>
      <c r="U125" s="5"/>
    </row>
    <row r="126" spans="1:21" ht="15.5" x14ac:dyDescent="0.3">
      <c r="A126" s="5">
        <v>365</v>
      </c>
      <c r="B126" s="5"/>
      <c r="C126" s="5" t="str">
        <f t="shared" si="6"/>
        <v/>
      </c>
      <c r="D126" s="5" t="str">
        <f t="shared" si="7"/>
        <v/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 t="str">
        <f t="shared" si="8"/>
        <v/>
      </c>
      <c r="T126" s="5"/>
      <c r="U126" s="5"/>
    </row>
    <row r="127" spans="1:21" ht="15.5" x14ac:dyDescent="0.3">
      <c r="A127" s="5">
        <v>366</v>
      </c>
      <c r="B127" s="5"/>
      <c r="C127" s="5" t="str">
        <f t="shared" si="6"/>
        <v/>
      </c>
      <c r="D127" s="5" t="str">
        <f t="shared" si="7"/>
        <v/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 t="str">
        <f t="shared" si="8"/>
        <v/>
      </c>
      <c r="T127" s="5"/>
      <c r="U127" s="5"/>
    </row>
    <row r="128" spans="1:21" ht="15.5" x14ac:dyDescent="0.3">
      <c r="A128" s="5">
        <v>367</v>
      </c>
      <c r="B128" s="5"/>
      <c r="C128" s="5" t="str">
        <f t="shared" si="6"/>
        <v/>
      </c>
      <c r="D128" s="5" t="str">
        <f t="shared" si="7"/>
        <v/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 t="str">
        <f t="shared" si="8"/>
        <v/>
      </c>
      <c r="T128" s="5"/>
      <c r="U128" s="5"/>
    </row>
    <row r="129" spans="1:21" ht="15.5" x14ac:dyDescent="0.3">
      <c r="A129" s="5">
        <v>368</v>
      </c>
      <c r="B129" s="5"/>
      <c r="C129" s="5" t="str">
        <f t="shared" si="6"/>
        <v/>
      </c>
      <c r="D129" s="5" t="str">
        <f t="shared" si="7"/>
        <v/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 t="str">
        <f t="shared" si="8"/>
        <v/>
      </c>
      <c r="T129" s="5"/>
      <c r="U129" s="5"/>
    </row>
    <row r="130" spans="1:21" ht="15.5" x14ac:dyDescent="0.3">
      <c r="A130" s="5">
        <v>369</v>
      </c>
      <c r="B130" s="5"/>
      <c r="C130" s="5" t="str">
        <f t="shared" si="6"/>
        <v/>
      </c>
      <c r="D130" s="5" t="str">
        <f t="shared" si="7"/>
        <v/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 t="str">
        <f t="shared" si="8"/>
        <v/>
      </c>
      <c r="T130" s="5"/>
      <c r="U130" s="5"/>
    </row>
    <row r="131" spans="1:21" ht="15.5" x14ac:dyDescent="0.3">
      <c r="A131" s="5">
        <v>370</v>
      </c>
      <c r="B131" s="5"/>
      <c r="C131" s="5" t="str">
        <f t="shared" si="6"/>
        <v/>
      </c>
      <c r="D131" s="5" t="str">
        <f t="shared" si="7"/>
        <v/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 t="str">
        <f t="shared" si="8"/>
        <v/>
      </c>
      <c r="T131" s="5"/>
      <c r="U131" s="5"/>
    </row>
    <row r="132" spans="1:21" ht="15.5" x14ac:dyDescent="0.3">
      <c r="A132" s="5">
        <v>371</v>
      </c>
      <c r="B132" s="5"/>
      <c r="C132" s="5" t="str">
        <f t="shared" si="6"/>
        <v/>
      </c>
      <c r="D132" s="5" t="str">
        <f t="shared" si="7"/>
        <v/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 t="str">
        <f t="shared" si="8"/>
        <v/>
      </c>
      <c r="T132" s="5"/>
      <c r="U132" s="5"/>
    </row>
    <row r="133" spans="1:21" ht="15.5" x14ac:dyDescent="0.3">
      <c r="A133" s="5">
        <v>372</v>
      </c>
      <c r="B133" s="5"/>
      <c r="C133" s="5" t="str">
        <f t="shared" si="6"/>
        <v/>
      </c>
      <c r="D133" s="5" t="str">
        <f t="shared" si="7"/>
        <v/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 t="str">
        <f t="shared" si="8"/>
        <v/>
      </c>
      <c r="T133" s="5"/>
      <c r="U133" s="5"/>
    </row>
    <row r="134" spans="1:21" ht="15.5" x14ac:dyDescent="0.3">
      <c r="A134" s="5">
        <v>373</v>
      </c>
      <c r="B134" s="5"/>
      <c r="C134" s="5" t="str">
        <f t="shared" si="6"/>
        <v/>
      </c>
      <c r="D134" s="5" t="str">
        <f t="shared" si="7"/>
        <v/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 t="str">
        <f t="shared" si="8"/>
        <v/>
      </c>
      <c r="T134" s="5"/>
      <c r="U134" s="5"/>
    </row>
    <row r="135" spans="1:21" ht="15.5" x14ac:dyDescent="0.3">
      <c r="A135" s="5">
        <v>374</v>
      </c>
      <c r="B135" s="5"/>
      <c r="C135" s="5" t="str">
        <f t="shared" si="6"/>
        <v/>
      </c>
      <c r="D135" s="5" t="str">
        <f t="shared" si="7"/>
        <v/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 t="str">
        <f t="shared" si="8"/>
        <v/>
      </c>
      <c r="T135" s="5"/>
      <c r="U135" s="5"/>
    </row>
    <row r="136" spans="1:21" ht="15.5" x14ac:dyDescent="0.3">
      <c r="A136" s="5">
        <v>375</v>
      </c>
      <c r="B136" s="5"/>
      <c r="C136" s="5" t="str">
        <f t="shared" si="6"/>
        <v/>
      </c>
      <c r="D136" s="5" t="str">
        <f t="shared" si="7"/>
        <v/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 t="str">
        <f t="shared" si="8"/>
        <v/>
      </c>
      <c r="T136" s="5"/>
      <c r="U136" s="5"/>
    </row>
    <row r="137" spans="1:21" ht="15.5" x14ac:dyDescent="0.3">
      <c r="A137" s="5">
        <v>376</v>
      </c>
      <c r="B137" s="5"/>
      <c r="C137" s="5" t="str">
        <f t="shared" si="6"/>
        <v/>
      </c>
      <c r="D137" s="5" t="str">
        <f t="shared" si="7"/>
        <v/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 t="str">
        <f t="shared" si="8"/>
        <v/>
      </c>
      <c r="T137" s="5"/>
      <c r="U137" s="5"/>
    </row>
    <row r="138" spans="1:21" ht="15.5" x14ac:dyDescent="0.3">
      <c r="A138" s="5">
        <v>377</v>
      </c>
      <c r="B138" s="5"/>
      <c r="C138" s="5" t="str">
        <f t="shared" si="6"/>
        <v/>
      </c>
      <c r="D138" s="5" t="str">
        <f t="shared" si="7"/>
        <v/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 t="str">
        <f t="shared" si="8"/>
        <v/>
      </c>
      <c r="T138" s="5"/>
      <c r="U138" s="5"/>
    </row>
    <row r="139" spans="1:21" ht="15.5" x14ac:dyDescent="0.3">
      <c r="A139" s="5">
        <v>378</v>
      </c>
      <c r="B139" s="5"/>
      <c r="C139" s="5" t="str">
        <f t="shared" si="6"/>
        <v/>
      </c>
      <c r="D139" s="5" t="str">
        <f t="shared" si="7"/>
        <v/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 t="str">
        <f t="shared" si="8"/>
        <v/>
      </c>
      <c r="T139" s="5"/>
      <c r="U139" s="5"/>
    </row>
    <row r="140" spans="1:21" ht="15.5" x14ac:dyDescent="0.3">
      <c r="A140" s="5">
        <v>379</v>
      </c>
      <c r="B140" s="5"/>
      <c r="C140" s="5" t="str">
        <f t="shared" si="6"/>
        <v/>
      </c>
      <c r="D140" s="5" t="str">
        <f t="shared" si="7"/>
        <v/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 t="str">
        <f t="shared" si="8"/>
        <v/>
      </c>
      <c r="T140" s="5"/>
      <c r="U140" s="5"/>
    </row>
    <row r="141" spans="1:21" ht="15.5" x14ac:dyDescent="0.3">
      <c r="A141" s="5">
        <v>380</v>
      </c>
      <c r="B141" s="5"/>
      <c r="C141" s="5" t="str">
        <f t="shared" si="6"/>
        <v/>
      </c>
      <c r="D141" s="5" t="str">
        <f t="shared" si="7"/>
        <v/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 t="str">
        <f t="shared" si="8"/>
        <v/>
      </c>
      <c r="T141" s="5"/>
      <c r="U141" s="5"/>
    </row>
    <row r="142" spans="1:21" ht="15.5" x14ac:dyDescent="0.3">
      <c r="A142" s="5">
        <v>381</v>
      </c>
      <c r="B142" s="5"/>
      <c r="C142" s="5" t="str">
        <f t="shared" si="6"/>
        <v/>
      </c>
      <c r="D142" s="5" t="str">
        <f t="shared" si="7"/>
        <v/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 t="str">
        <f t="shared" si="8"/>
        <v/>
      </c>
      <c r="T142" s="5"/>
      <c r="U142" s="5"/>
    </row>
    <row r="143" spans="1:21" ht="15.5" x14ac:dyDescent="0.3">
      <c r="A143" s="5">
        <v>382</v>
      </c>
      <c r="B143" s="5"/>
      <c r="C143" s="5" t="str">
        <f t="shared" si="6"/>
        <v/>
      </c>
      <c r="D143" s="5" t="str">
        <f t="shared" si="7"/>
        <v/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 t="str">
        <f t="shared" si="8"/>
        <v/>
      </c>
      <c r="T143" s="5"/>
      <c r="U143" s="5"/>
    </row>
    <row r="144" spans="1:21" ht="15.5" x14ac:dyDescent="0.3">
      <c r="A144" s="5">
        <v>383</v>
      </c>
      <c r="B144" s="5"/>
      <c r="C144" s="5" t="str">
        <f t="shared" si="6"/>
        <v/>
      </c>
      <c r="D144" s="5" t="str">
        <f t="shared" si="7"/>
        <v/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 t="str">
        <f t="shared" si="8"/>
        <v/>
      </c>
      <c r="T144" s="5"/>
      <c r="U144" s="5"/>
    </row>
    <row r="145" spans="1:21" ht="15.5" x14ac:dyDescent="0.3">
      <c r="A145" s="5">
        <v>384</v>
      </c>
      <c r="B145" s="5"/>
      <c r="C145" s="5" t="str">
        <f t="shared" si="6"/>
        <v/>
      </c>
      <c r="D145" s="5" t="str">
        <f t="shared" si="7"/>
        <v/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 t="str">
        <f t="shared" si="8"/>
        <v/>
      </c>
      <c r="T145" s="5"/>
      <c r="U145" s="5"/>
    </row>
    <row r="146" spans="1:21" ht="15.5" x14ac:dyDescent="0.3">
      <c r="A146" s="5">
        <v>385</v>
      </c>
      <c r="B146" s="5"/>
      <c r="C146" s="5" t="str">
        <f t="shared" ref="C146:C209" si="9">IF(TRIM($B146)&lt;&gt; "",$S146+$T146+$L146+$N146-$M146,"")</f>
        <v/>
      </c>
      <c r="D146" s="5" t="str">
        <f t="shared" ref="D146:D209" si="10">IF(TRIM($B146)= "","",IF($E$4="D. TYPE: UNDER-GRADUATE", IF($C146&gt;=70,"A",IF($C146&gt;=60,"B",IF($C146&gt;=50,"C",IF($C146&gt;=45,"D",IF($C146&gt;=40,"E",IF(TRIM($B146)&lt;&gt; "","F","")))))), IF($E$4="D. TYPE: BASIC",IF($C146&gt;=70,"A",IF($C146&gt;=60,"B",IF( $C146&gt;=50,"C",IF( $C146 &gt;=40,"D",IF(TRIM($B146)&lt;&gt; "","F",""))))), IF($E$4="D. TYPE: CERTIFICATE",IF($C146&gt;=70,"A",IF($C146&gt;=60,"B",IF($C146&gt;=50,"C",IF($C146&gt;=40,"D",IF(TRIM($B146)&lt;&gt; "","F",""))))),  IF($C146&gt;=70,"A",IF($C146&gt;=60,"B",IF($C146&gt;=50,"C",IF(TRIM($B146)&lt;&gt; "","F",""))))))))</f>
        <v/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 t="str">
        <f t="shared" ref="S146:S209" si="11">IF(TRIM($B146)&lt;&gt; "",$F146+$G146+$H146+$I146+$J146+$K146,"")</f>
        <v/>
      </c>
      <c r="T146" s="5"/>
      <c r="U146" s="5"/>
    </row>
    <row r="147" spans="1:21" ht="15.5" x14ac:dyDescent="0.3">
      <c r="A147" s="5">
        <v>386</v>
      </c>
      <c r="B147" s="5"/>
      <c r="C147" s="5" t="str">
        <f t="shared" si="9"/>
        <v/>
      </c>
      <c r="D147" s="5" t="str">
        <f t="shared" si="10"/>
        <v/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 t="str">
        <f t="shared" si="11"/>
        <v/>
      </c>
      <c r="T147" s="5"/>
      <c r="U147" s="5"/>
    </row>
    <row r="148" spans="1:21" ht="15.5" x14ac:dyDescent="0.3">
      <c r="A148" s="5">
        <v>387</v>
      </c>
      <c r="B148" s="5"/>
      <c r="C148" s="5" t="str">
        <f t="shared" si="9"/>
        <v/>
      </c>
      <c r="D148" s="5" t="str">
        <f t="shared" si="10"/>
        <v/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 t="str">
        <f t="shared" si="11"/>
        <v/>
      </c>
      <c r="T148" s="5"/>
      <c r="U148" s="5"/>
    </row>
    <row r="149" spans="1:21" ht="15.5" x14ac:dyDescent="0.3">
      <c r="A149" s="5">
        <v>388</v>
      </c>
      <c r="B149" s="5"/>
      <c r="C149" s="5" t="str">
        <f t="shared" si="9"/>
        <v/>
      </c>
      <c r="D149" s="5" t="str">
        <f t="shared" si="10"/>
        <v/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 t="str">
        <f t="shared" si="11"/>
        <v/>
      </c>
      <c r="T149" s="5"/>
      <c r="U149" s="5"/>
    </row>
    <row r="150" spans="1:21" ht="15.5" x14ac:dyDescent="0.3">
      <c r="A150" s="5">
        <v>389</v>
      </c>
      <c r="B150" s="5"/>
      <c r="C150" s="5" t="str">
        <f t="shared" si="9"/>
        <v/>
      </c>
      <c r="D150" s="5" t="str">
        <f t="shared" si="10"/>
        <v/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 t="str">
        <f t="shared" si="11"/>
        <v/>
      </c>
      <c r="T150" s="5"/>
      <c r="U150" s="5"/>
    </row>
    <row r="151" spans="1:21" ht="15.5" x14ac:dyDescent="0.3">
      <c r="A151" s="5">
        <v>390</v>
      </c>
      <c r="B151" s="5"/>
      <c r="C151" s="5" t="str">
        <f t="shared" si="9"/>
        <v/>
      </c>
      <c r="D151" s="5" t="str">
        <f t="shared" si="10"/>
        <v/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 t="str">
        <f t="shared" si="11"/>
        <v/>
      </c>
      <c r="T151" s="5"/>
      <c r="U151" s="5"/>
    </row>
    <row r="152" spans="1:21" ht="15.5" x14ac:dyDescent="0.3">
      <c r="A152" s="5">
        <v>391</v>
      </c>
      <c r="B152" s="5"/>
      <c r="C152" s="5" t="str">
        <f t="shared" si="9"/>
        <v/>
      </c>
      <c r="D152" s="5" t="str">
        <f t="shared" si="10"/>
        <v/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 t="str">
        <f t="shared" si="11"/>
        <v/>
      </c>
      <c r="T152" s="5"/>
      <c r="U152" s="5"/>
    </row>
    <row r="153" spans="1:21" ht="15.5" x14ac:dyDescent="0.3">
      <c r="A153" s="5">
        <v>392</v>
      </c>
      <c r="B153" s="5"/>
      <c r="C153" s="5" t="str">
        <f t="shared" si="9"/>
        <v/>
      </c>
      <c r="D153" s="5" t="str">
        <f t="shared" si="10"/>
        <v/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 t="str">
        <f t="shared" si="11"/>
        <v/>
      </c>
      <c r="T153" s="5"/>
      <c r="U153" s="5"/>
    </row>
    <row r="154" spans="1:21" ht="15.5" x14ac:dyDescent="0.3">
      <c r="A154" s="5">
        <v>393</v>
      </c>
      <c r="B154" s="5"/>
      <c r="C154" s="5" t="str">
        <f t="shared" si="9"/>
        <v/>
      </c>
      <c r="D154" s="5" t="str">
        <f t="shared" si="10"/>
        <v/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 t="str">
        <f t="shared" si="11"/>
        <v/>
      </c>
      <c r="T154" s="5"/>
      <c r="U154" s="5"/>
    </row>
    <row r="155" spans="1:21" ht="15.5" x14ac:dyDescent="0.3">
      <c r="A155" s="5">
        <v>394</v>
      </c>
      <c r="B155" s="5"/>
      <c r="C155" s="5" t="str">
        <f t="shared" si="9"/>
        <v/>
      </c>
      <c r="D155" s="5" t="str">
        <f t="shared" si="10"/>
        <v/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 t="str">
        <f t="shared" si="11"/>
        <v/>
      </c>
      <c r="T155" s="5"/>
      <c r="U155" s="5"/>
    </row>
    <row r="156" spans="1:21" ht="15.5" x14ac:dyDescent="0.3">
      <c r="A156" s="5">
        <v>395</v>
      </c>
      <c r="B156" s="5"/>
      <c r="C156" s="5" t="str">
        <f t="shared" si="9"/>
        <v/>
      </c>
      <c r="D156" s="5" t="str">
        <f t="shared" si="10"/>
        <v/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 t="str">
        <f t="shared" si="11"/>
        <v/>
      </c>
      <c r="T156" s="5"/>
      <c r="U156" s="5"/>
    </row>
    <row r="157" spans="1:21" ht="15.5" x14ac:dyDescent="0.3">
      <c r="A157" s="5">
        <v>396</v>
      </c>
      <c r="B157" s="5"/>
      <c r="C157" s="5" t="str">
        <f t="shared" si="9"/>
        <v/>
      </c>
      <c r="D157" s="5" t="str">
        <f t="shared" si="10"/>
        <v/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 t="str">
        <f t="shared" si="11"/>
        <v/>
      </c>
      <c r="T157" s="5"/>
      <c r="U157" s="5"/>
    </row>
    <row r="158" spans="1:21" ht="15.5" x14ac:dyDescent="0.3">
      <c r="A158" s="5">
        <v>397</v>
      </c>
      <c r="B158" s="5"/>
      <c r="C158" s="5" t="str">
        <f t="shared" si="9"/>
        <v/>
      </c>
      <c r="D158" s="5" t="str">
        <f t="shared" si="10"/>
        <v/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 t="str">
        <f t="shared" si="11"/>
        <v/>
      </c>
      <c r="T158" s="5"/>
      <c r="U158" s="5"/>
    </row>
    <row r="159" spans="1:21" ht="15.5" x14ac:dyDescent="0.3">
      <c r="A159" s="5">
        <v>398</v>
      </c>
      <c r="B159" s="5"/>
      <c r="C159" s="5" t="str">
        <f t="shared" si="9"/>
        <v/>
      </c>
      <c r="D159" s="5" t="str">
        <f t="shared" si="10"/>
        <v/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 t="str">
        <f t="shared" si="11"/>
        <v/>
      </c>
      <c r="T159" s="5"/>
      <c r="U159" s="5"/>
    </row>
    <row r="160" spans="1:21" ht="15.5" x14ac:dyDescent="0.3">
      <c r="A160" s="5">
        <v>399</v>
      </c>
      <c r="B160" s="5"/>
      <c r="C160" s="5" t="str">
        <f t="shared" si="9"/>
        <v/>
      </c>
      <c r="D160" s="5" t="str">
        <f t="shared" si="10"/>
        <v/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 t="str">
        <f t="shared" si="11"/>
        <v/>
      </c>
      <c r="T160" s="5"/>
      <c r="U160" s="5"/>
    </row>
    <row r="161" spans="1:21" ht="15.5" x14ac:dyDescent="0.3">
      <c r="A161" s="5">
        <v>400</v>
      </c>
      <c r="B161" s="5"/>
      <c r="C161" s="5" t="str">
        <f t="shared" si="9"/>
        <v/>
      </c>
      <c r="D161" s="5" t="str">
        <f t="shared" si="10"/>
        <v/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 t="str">
        <f t="shared" si="11"/>
        <v/>
      </c>
      <c r="T161" s="5"/>
      <c r="U161" s="5"/>
    </row>
    <row r="162" spans="1:21" ht="15.5" x14ac:dyDescent="0.3">
      <c r="A162" s="5">
        <v>401</v>
      </c>
      <c r="B162" s="5"/>
      <c r="C162" s="5" t="str">
        <f t="shared" si="9"/>
        <v/>
      </c>
      <c r="D162" s="5" t="str">
        <f t="shared" si="10"/>
        <v/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 t="str">
        <f t="shared" si="11"/>
        <v/>
      </c>
      <c r="T162" s="5"/>
      <c r="U162" s="5"/>
    </row>
    <row r="163" spans="1:21" ht="15.5" x14ac:dyDescent="0.3">
      <c r="A163" s="5">
        <v>402</v>
      </c>
      <c r="B163" s="5"/>
      <c r="C163" s="5" t="str">
        <f t="shared" si="9"/>
        <v/>
      </c>
      <c r="D163" s="5" t="str">
        <f t="shared" si="10"/>
        <v/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 t="str">
        <f t="shared" si="11"/>
        <v/>
      </c>
      <c r="T163" s="5"/>
      <c r="U163" s="5"/>
    </row>
    <row r="164" spans="1:21" ht="15.5" x14ac:dyDescent="0.3">
      <c r="A164" s="5">
        <v>403</v>
      </c>
      <c r="B164" s="5"/>
      <c r="C164" s="5" t="str">
        <f t="shared" si="9"/>
        <v/>
      </c>
      <c r="D164" s="5" t="str">
        <f t="shared" si="10"/>
        <v/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 t="str">
        <f t="shared" si="11"/>
        <v/>
      </c>
      <c r="T164" s="5"/>
      <c r="U164" s="5"/>
    </row>
    <row r="165" spans="1:21" ht="15.5" x14ac:dyDescent="0.3">
      <c r="A165" s="5">
        <v>404</v>
      </c>
      <c r="B165" s="5"/>
      <c r="C165" s="5" t="str">
        <f t="shared" si="9"/>
        <v/>
      </c>
      <c r="D165" s="5" t="str">
        <f t="shared" si="10"/>
        <v/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 t="str">
        <f t="shared" si="11"/>
        <v/>
      </c>
      <c r="T165" s="5"/>
      <c r="U165" s="5"/>
    </row>
    <row r="166" spans="1:21" ht="15.5" x14ac:dyDescent="0.3">
      <c r="A166" s="5">
        <v>405</v>
      </c>
      <c r="B166" s="5"/>
      <c r="C166" s="5" t="str">
        <f t="shared" si="9"/>
        <v/>
      </c>
      <c r="D166" s="5" t="str">
        <f t="shared" si="10"/>
        <v/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 t="str">
        <f t="shared" si="11"/>
        <v/>
      </c>
      <c r="T166" s="5"/>
      <c r="U166" s="5"/>
    </row>
    <row r="167" spans="1:21" ht="15.5" x14ac:dyDescent="0.3">
      <c r="A167" s="5">
        <v>406</v>
      </c>
      <c r="B167" s="5"/>
      <c r="C167" s="5" t="str">
        <f t="shared" si="9"/>
        <v/>
      </c>
      <c r="D167" s="5" t="str">
        <f t="shared" si="10"/>
        <v/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 t="str">
        <f t="shared" si="11"/>
        <v/>
      </c>
      <c r="T167" s="5"/>
      <c r="U167" s="5"/>
    </row>
    <row r="168" spans="1:21" ht="15.5" x14ac:dyDescent="0.3">
      <c r="A168" s="5">
        <v>407</v>
      </c>
      <c r="B168" s="5"/>
      <c r="C168" s="5" t="str">
        <f t="shared" si="9"/>
        <v/>
      </c>
      <c r="D168" s="5" t="str">
        <f t="shared" si="10"/>
        <v/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 t="str">
        <f t="shared" si="11"/>
        <v/>
      </c>
      <c r="T168" s="5"/>
      <c r="U168" s="5"/>
    </row>
    <row r="169" spans="1:21" ht="15.5" x14ac:dyDescent="0.3">
      <c r="A169" s="5">
        <v>408</v>
      </c>
      <c r="B169" s="5"/>
      <c r="C169" s="5" t="str">
        <f t="shared" si="9"/>
        <v/>
      </c>
      <c r="D169" s="5" t="str">
        <f t="shared" si="10"/>
        <v/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 t="str">
        <f t="shared" si="11"/>
        <v/>
      </c>
      <c r="T169" s="5"/>
      <c r="U169" s="5"/>
    </row>
    <row r="170" spans="1:21" ht="15.5" x14ac:dyDescent="0.3">
      <c r="A170" s="5">
        <v>409</v>
      </c>
      <c r="B170" s="5"/>
      <c r="C170" s="5" t="str">
        <f t="shared" si="9"/>
        <v/>
      </c>
      <c r="D170" s="5" t="str">
        <f t="shared" si="10"/>
        <v/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 t="str">
        <f t="shared" si="11"/>
        <v/>
      </c>
      <c r="T170" s="5"/>
      <c r="U170" s="5"/>
    </row>
    <row r="171" spans="1:21" ht="15.5" x14ac:dyDescent="0.3">
      <c r="A171" s="5">
        <v>410</v>
      </c>
      <c r="B171" s="5"/>
      <c r="C171" s="5" t="str">
        <f t="shared" si="9"/>
        <v/>
      </c>
      <c r="D171" s="5" t="str">
        <f t="shared" si="10"/>
        <v/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 t="str">
        <f t="shared" si="11"/>
        <v/>
      </c>
      <c r="T171" s="5"/>
      <c r="U171" s="5"/>
    </row>
    <row r="172" spans="1:21" ht="15.5" x14ac:dyDescent="0.3">
      <c r="A172" s="5">
        <v>411</v>
      </c>
      <c r="B172" s="5"/>
      <c r="C172" s="5" t="str">
        <f t="shared" si="9"/>
        <v/>
      </c>
      <c r="D172" s="5" t="str">
        <f t="shared" si="10"/>
        <v/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 t="str">
        <f t="shared" si="11"/>
        <v/>
      </c>
      <c r="T172" s="5"/>
      <c r="U172" s="5"/>
    </row>
    <row r="173" spans="1:21" ht="15.5" x14ac:dyDescent="0.3">
      <c r="A173" s="5">
        <v>412</v>
      </c>
      <c r="B173" s="5"/>
      <c r="C173" s="5" t="str">
        <f t="shared" si="9"/>
        <v/>
      </c>
      <c r="D173" s="5" t="str">
        <f t="shared" si="10"/>
        <v/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 t="str">
        <f t="shared" si="11"/>
        <v/>
      </c>
      <c r="T173" s="5"/>
      <c r="U173" s="5"/>
    </row>
    <row r="174" spans="1:21" ht="15.5" x14ac:dyDescent="0.3">
      <c r="A174" s="5">
        <v>413</v>
      </c>
      <c r="B174" s="5"/>
      <c r="C174" s="5" t="str">
        <f t="shared" si="9"/>
        <v/>
      </c>
      <c r="D174" s="5" t="str">
        <f t="shared" si="10"/>
        <v/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 t="str">
        <f t="shared" si="11"/>
        <v/>
      </c>
      <c r="T174" s="5"/>
      <c r="U174" s="5"/>
    </row>
    <row r="175" spans="1:21" ht="15.5" x14ac:dyDescent="0.3">
      <c r="A175" s="5">
        <v>414</v>
      </c>
      <c r="B175" s="5"/>
      <c r="C175" s="5" t="str">
        <f t="shared" si="9"/>
        <v/>
      </c>
      <c r="D175" s="5" t="str">
        <f t="shared" si="10"/>
        <v/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 t="str">
        <f t="shared" si="11"/>
        <v/>
      </c>
      <c r="T175" s="5"/>
      <c r="U175" s="5"/>
    </row>
    <row r="176" spans="1:21" ht="15.5" x14ac:dyDescent="0.3">
      <c r="A176" s="5">
        <v>415</v>
      </c>
      <c r="B176" s="5"/>
      <c r="C176" s="5" t="str">
        <f t="shared" si="9"/>
        <v/>
      </c>
      <c r="D176" s="5" t="str">
        <f t="shared" si="10"/>
        <v/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 t="str">
        <f t="shared" si="11"/>
        <v/>
      </c>
      <c r="T176" s="5"/>
      <c r="U176" s="5"/>
    </row>
    <row r="177" spans="1:21" ht="15.5" x14ac:dyDescent="0.3">
      <c r="A177" s="5">
        <v>416</v>
      </c>
      <c r="B177" s="5"/>
      <c r="C177" s="5" t="str">
        <f t="shared" si="9"/>
        <v/>
      </c>
      <c r="D177" s="5" t="str">
        <f t="shared" si="10"/>
        <v/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 t="str">
        <f t="shared" si="11"/>
        <v/>
      </c>
      <c r="T177" s="5"/>
      <c r="U177" s="5"/>
    </row>
    <row r="178" spans="1:21" ht="15.5" x14ac:dyDescent="0.3">
      <c r="A178" s="5">
        <v>417</v>
      </c>
      <c r="B178" s="5"/>
      <c r="C178" s="5" t="str">
        <f t="shared" si="9"/>
        <v/>
      </c>
      <c r="D178" s="5" t="str">
        <f t="shared" si="10"/>
        <v/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 t="str">
        <f t="shared" si="11"/>
        <v/>
      </c>
      <c r="T178" s="5"/>
      <c r="U178" s="5"/>
    </row>
    <row r="179" spans="1:21" ht="15.5" x14ac:dyDescent="0.3">
      <c r="A179" s="5">
        <v>418</v>
      </c>
      <c r="B179" s="5"/>
      <c r="C179" s="5" t="str">
        <f t="shared" si="9"/>
        <v/>
      </c>
      <c r="D179" s="5" t="str">
        <f t="shared" si="10"/>
        <v/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 t="str">
        <f t="shared" si="11"/>
        <v/>
      </c>
      <c r="T179" s="5"/>
      <c r="U179" s="5"/>
    </row>
    <row r="180" spans="1:21" ht="15.5" x14ac:dyDescent="0.3">
      <c r="A180" s="5">
        <v>419</v>
      </c>
      <c r="B180" s="5"/>
      <c r="C180" s="5" t="str">
        <f t="shared" si="9"/>
        <v/>
      </c>
      <c r="D180" s="5" t="str">
        <f t="shared" si="10"/>
        <v/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 t="str">
        <f t="shared" si="11"/>
        <v/>
      </c>
      <c r="T180" s="5"/>
      <c r="U180" s="5"/>
    </row>
    <row r="181" spans="1:21" ht="15.5" x14ac:dyDescent="0.3">
      <c r="A181" s="5">
        <v>420</v>
      </c>
      <c r="B181" s="5"/>
      <c r="C181" s="5" t="str">
        <f t="shared" si="9"/>
        <v/>
      </c>
      <c r="D181" s="5" t="str">
        <f t="shared" si="10"/>
        <v/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 t="str">
        <f t="shared" si="11"/>
        <v/>
      </c>
      <c r="T181" s="5"/>
      <c r="U181" s="5"/>
    </row>
    <row r="182" spans="1:21" ht="15.5" x14ac:dyDescent="0.3">
      <c r="A182" s="5">
        <v>421</v>
      </c>
      <c r="B182" s="5"/>
      <c r="C182" s="5" t="str">
        <f t="shared" si="9"/>
        <v/>
      </c>
      <c r="D182" s="5" t="str">
        <f t="shared" si="10"/>
        <v/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 t="str">
        <f t="shared" si="11"/>
        <v/>
      </c>
      <c r="T182" s="5"/>
      <c r="U182" s="5"/>
    </row>
    <row r="183" spans="1:21" ht="15.5" x14ac:dyDescent="0.3">
      <c r="A183" s="5">
        <v>422</v>
      </c>
      <c r="B183" s="5"/>
      <c r="C183" s="5" t="str">
        <f t="shared" si="9"/>
        <v/>
      </c>
      <c r="D183" s="5" t="str">
        <f t="shared" si="10"/>
        <v/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 t="str">
        <f t="shared" si="11"/>
        <v/>
      </c>
      <c r="T183" s="5"/>
      <c r="U183" s="5"/>
    </row>
    <row r="184" spans="1:21" ht="15.5" x14ac:dyDescent="0.3">
      <c r="A184" s="5">
        <v>423</v>
      </c>
      <c r="B184" s="5"/>
      <c r="C184" s="5" t="str">
        <f t="shared" si="9"/>
        <v/>
      </c>
      <c r="D184" s="5" t="str">
        <f t="shared" si="10"/>
        <v/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 t="str">
        <f t="shared" si="11"/>
        <v/>
      </c>
      <c r="T184" s="5"/>
      <c r="U184" s="5"/>
    </row>
    <row r="185" spans="1:21" ht="15.5" x14ac:dyDescent="0.3">
      <c r="A185" s="5">
        <v>424</v>
      </c>
      <c r="B185" s="5"/>
      <c r="C185" s="5" t="str">
        <f t="shared" si="9"/>
        <v/>
      </c>
      <c r="D185" s="5" t="str">
        <f t="shared" si="10"/>
        <v/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 t="str">
        <f t="shared" si="11"/>
        <v/>
      </c>
      <c r="T185" s="5"/>
      <c r="U185" s="5"/>
    </row>
    <row r="186" spans="1:21" ht="15.5" x14ac:dyDescent="0.3">
      <c r="A186" s="5">
        <v>425</v>
      </c>
      <c r="B186" s="5"/>
      <c r="C186" s="5" t="str">
        <f t="shared" si="9"/>
        <v/>
      </c>
      <c r="D186" s="5" t="str">
        <f t="shared" si="10"/>
        <v/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 t="str">
        <f t="shared" si="11"/>
        <v/>
      </c>
      <c r="T186" s="5"/>
      <c r="U186" s="5"/>
    </row>
    <row r="187" spans="1:21" ht="15.5" x14ac:dyDescent="0.3">
      <c r="A187" s="5">
        <v>426</v>
      </c>
      <c r="B187" s="5"/>
      <c r="C187" s="5" t="str">
        <f t="shared" si="9"/>
        <v/>
      </c>
      <c r="D187" s="5" t="str">
        <f t="shared" si="10"/>
        <v/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 t="str">
        <f t="shared" si="11"/>
        <v/>
      </c>
      <c r="T187" s="5"/>
      <c r="U187" s="5"/>
    </row>
    <row r="188" spans="1:21" ht="15.5" x14ac:dyDescent="0.3">
      <c r="A188" s="5">
        <v>427</v>
      </c>
      <c r="B188" s="5"/>
      <c r="C188" s="5" t="str">
        <f t="shared" si="9"/>
        <v/>
      </c>
      <c r="D188" s="5" t="str">
        <f t="shared" si="10"/>
        <v/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 t="str">
        <f t="shared" si="11"/>
        <v/>
      </c>
      <c r="T188" s="5"/>
      <c r="U188" s="5"/>
    </row>
    <row r="189" spans="1:21" ht="15.5" x14ac:dyDescent="0.3">
      <c r="A189" s="5">
        <v>428</v>
      </c>
      <c r="B189" s="5"/>
      <c r="C189" s="5" t="str">
        <f t="shared" si="9"/>
        <v/>
      </c>
      <c r="D189" s="5" t="str">
        <f t="shared" si="10"/>
        <v/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 t="str">
        <f t="shared" si="11"/>
        <v/>
      </c>
      <c r="T189" s="5"/>
      <c r="U189" s="5"/>
    </row>
    <row r="190" spans="1:21" ht="15.5" x14ac:dyDescent="0.3">
      <c r="A190" s="5">
        <v>429</v>
      </c>
      <c r="B190" s="5"/>
      <c r="C190" s="5" t="str">
        <f t="shared" si="9"/>
        <v/>
      </c>
      <c r="D190" s="5" t="str">
        <f t="shared" si="10"/>
        <v/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 t="str">
        <f t="shared" si="11"/>
        <v/>
      </c>
      <c r="T190" s="5"/>
      <c r="U190" s="5"/>
    </row>
    <row r="191" spans="1:21" ht="15.5" x14ac:dyDescent="0.3">
      <c r="A191" s="5">
        <v>430</v>
      </c>
      <c r="B191" s="5"/>
      <c r="C191" s="5" t="str">
        <f t="shared" si="9"/>
        <v/>
      </c>
      <c r="D191" s="5" t="str">
        <f t="shared" si="10"/>
        <v/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 t="str">
        <f t="shared" si="11"/>
        <v/>
      </c>
      <c r="T191" s="5"/>
      <c r="U191" s="5"/>
    </row>
    <row r="192" spans="1:21" ht="15.5" x14ac:dyDescent="0.3">
      <c r="A192" s="5">
        <v>431</v>
      </c>
      <c r="B192" s="5"/>
      <c r="C192" s="5" t="str">
        <f t="shared" si="9"/>
        <v/>
      </c>
      <c r="D192" s="5" t="str">
        <f t="shared" si="10"/>
        <v/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 t="str">
        <f t="shared" si="11"/>
        <v/>
      </c>
      <c r="T192" s="5"/>
      <c r="U192" s="5"/>
    </row>
    <row r="193" spans="1:21" ht="15.5" x14ac:dyDescent="0.3">
      <c r="A193" s="5">
        <v>432</v>
      </c>
      <c r="B193" s="5"/>
      <c r="C193" s="5" t="str">
        <f t="shared" si="9"/>
        <v/>
      </c>
      <c r="D193" s="5" t="str">
        <f t="shared" si="10"/>
        <v/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 t="str">
        <f t="shared" si="11"/>
        <v/>
      </c>
      <c r="T193" s="5"/>
      <c r="U193" s="5"/>
    </row>
    <row r="194" spans="1:21" ht="15.5" x14ac:dyDescent="0.3">
      <c r="A194" s="5">
        <v>433</v>
      </c>
      <c r="B194" s="5"/>
      <c r="C194" s="5" t="str">
        <f t="shared" si="9"/>
        <v/>
      </c>
      <c r="D194" s="5" t="str">
        <f t="shared" si="10"/>
        <v/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 t="str">
        <f t="shared" si="11"/>
        <v/>
      </c>
      <c r="T194" s="5"/>
      <c r="U194" s="5"/>
    </row>
    <row r="195" spans="1:21" ht="15.5" x14ac:dyDescent="0.3">
      <c r="A195" s="5">
        <v>434</v>
      </c>
      <c r="B195" s="5"/>
      <c r="C195" s="5" t="str">
        <f t="shared" si="9"/>
        <v/>
      </c>
      <c r="D195" s="5" t="str">
        <f t="shared" si="10"/>
        <v/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 t="str">
        <f t="shared" si="11"/>
        <v/>
      </c>
      <c r="T195" s="5"/>
      <c r="U195" s="5"/>
    </row>
    <row r="196" spans="1:21" ht="15.5" x14ac:dyDescent="0.3">
      <c r="A196" s="5">
        <v>435</v>
      </c>
      <c r="B196" s="5"/>
      <c r="C196" s="5" t="str">
        <f t="shared" si="9"/>
        <v/>
      </c>
      <c r="D196" s="5" t="str">
        <f t="shared" si="10"/>
        <v/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 t="str">
        <f t="shared" si="11"/>
        <v/>
      </c>
      <c r="T196" s="5"/>
      <c r="U196" s="5"/>
    </row>
    <row r="197" spans="1:21" ht="15.5" x14ac:dyDescent="0.3">
      <c r="A197" s="5">
        <v>436</v>
      </c>
      <c r="B197" s="5"/>
      <c r="C197" s="5" t="str">
        <f t="shared" si="9"/>
        <v/>
      </c>
      <c r="D197" s="5" t="str">
        <f t="shared" si="10"/>
        <v/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 t="str">
        <f t="shared" si="11"/>
        <v/>
      </c>
      <c r="T197" s="5"/>
      <c r="U197" s="5"/>
    </row>
    <row r="198" spans="1:21" ht="15.5" x14ac:dyDescent="0.3">
      <c r="A198" s="5">
        <v>437</v>
      </c>
      <c r="B198" s="5"/>
      <c r="C198" s="5" t="str">
        <f t="shared" si="9"/>
        <v/>
      </c>
      <c r="D198" s="5" t="str">
        <f t="shared" si="10"/>
        <v/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 t="str">
        <f t="shared" si="11"/>
        <v/>
      </c>
      <c r="T198" s="5"/>
      <c r="U198" s="5"/>
    </row>
    <row r="199" spans="1:21" ht="15.5" x14ac:dyDescent="0.3">
      <c r="A199" s="5">
        <v>438</v>
      </c>
      <c r="B199" s="5"/>
      <c r="C199" s="5" t="str">
        <f t="shared" si="9"/>
        <v/>
      </c>
      <c r="D199" s="5" t="str">
        <f t="shared" si="10"/>
        <v/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 t="str">
        <f t="shared" si="11"/>
        <v/>
      </c>
      <c r="T199" s="5"/>
      <c r="U199" s="5"/>
    </row>
    <row r="200" spans="1:21" ht="15.5" x14ac:dyDescent="0.3">
      <c r="A200" s="5">
        <v>439</v>
      </c>
      <c r="B200" s="5"/>
      <c r="C200" s="5" t="str">
        <f t="shared" si="9"/>
        <v/>
      </c>
      <c r="D200" s="5" t="str">
        <f t="shared" si="10"/>
        <v/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 t="str">
        <f t="shared" si="11"/>
        <v/>
      </c>
      <c r="T200" s="5"/>
      <c r="U200" s="5"/>
    </row>
    <row r="201" spans="1:21" ht="15.5" x14ac:dyDescent="0.3">
      <c r="A201" s="5">
        <v>440</v>
      </c>
      <c r="B201" s="5"/>
      <c r="C201" s="5" t="str">
        <f t="shared" si="9"/>
        <v/>
      </c>
      <c r="D201" s="5" t="str">
        <f t="shared" si="10"/>
        <v/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 t="str">
        <f t="shared" si="11"/>
        <v/>
      </c>
      <c r="T201" s="5"/>
      <c r="U201" s="5"/>
    </row>
    <row r="202" spans="1:21" ht="15.5" x14ac:dyDescent="0.3">
      <c r="A202" s="5">
        <v>441</v>
      </c>
      <c r="B202" s="5"/>
      <c r="C202" s="5" t="str">
        <f t="shared" si="9"/>
        <v/>
      </c>
      <c r="D202" s="5" t="str">
        <f t="shared" si="10"/>
        <v/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 t="str">
        <f t="shared" si="11"/>
        <v/>
      </c>
      <c r="T202" s="5"/>
      <c r="U202" s="5"/>
    </row>
    <row r="203" spans="1:21" ht="15.5" x14ac:dyDescent="0.3">
      <c r="A203" s="5">
        <v>442</v>
      </c>
      <c r="B203" s="5"/>
      <c r="C203" s="5" t="str">
        <f t="shared" si="9"/>
        <v/>
      </c>
      <c r="D203" s="5" t="str">
        <f t="shared" si="10"/>
        <v/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 t="str">
        <f t="shared" si="11"/>
        <v/>
      </c>
      <c r="T203" s="5"/>
      <c r="U203" s="5"/>
    </row>
    <row r="204" spans="1:21" ht="15.5" x14ac:dyDescent="0.3">
      <c r="A204" s="5">
        <v>443</v>
      </c>
      <c r="B204" s="5"/>
      <c r="C204" s="5" t="str">
        <f t="shared" si="9"/>
        <v/>
      </c>
      <c r="D204" s="5" t="str">
        <f t="shared" si="10"/>
        <v/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 t="str">
        <f t="shared" si="11"/>
        <v/>
      </c>
      <c r="T204" s="5"/>
      <c r="U204" s="5"/>
    </row>
    <row r="205" spans="1:21" ht="15.5" x14ac:dyDescent="0.3">
      <c r="A205" s="5">
        <v>444</v>
      </c>
      <c r="B205" s="5"/>
      <c r="C205" s="5" t="str">
        <f t="shared" si="9"/>
        <v/>
      </c>
      <c r="D205" s="5" t="str">
        <f t="shared" si="10"/>
        <v/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 t="str">
        <f t="shared" si="11"/>
        <v/>
      </c>
      <c r="T205" s="5"/>
      <c r="U205" s="5"/>
    </row>
    <row r="206" spans="1:21" ht="15.5" x14ac:dyDescent="0.3">
      <c r="A206" s="5">
        <v>445</v>
      </c>
      <c r="B206" s="5"/>
      <c r="C206" s="5" t="str">
        <f t="shared" si="9"/>
        <v/>
      </c>
      <c r="D206" s="5" t="str">
        <f t="shared" si="10"/>
        <v/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 t="str">
        <f t="shared" si="11"/>
        <v/>
      </c>
      <c r="T206" s="5"/>
      <c r="U206" s="5"/>
    </row>
    <row r="207" spans="1:21" ht="15.5" x14ac:dyDescent="0.3">
      <c r="A207" s="5">
        <v>446</v>
      </c>
      <c r="B207" s="5"/>
      <c r="C207" s="5" t="str">
        <f t="shared" si="9"/>
        <v/>
      </c>
      <c r="D207" s="5" t="str">
        <f t="shared" si="10"/>
        <v/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 t="str">
        <f t="shared" si="11"/>
        <v/>
      </c>
      <c r="T207" s="5"/>
      <c r="U207" s="5"/>
    </row>
    <row r="208" spans="1:21" ht="15.5" x14ac:dyDescent="0.3">
      <c r="A208" s="5">
        <v>447</v>
      </c>
      <c r="B208" s="5"/>
      <c r="C208" s="5" t="str">
        <f t="shared" si="9"/>
        <v/>
      </c>
      <c r="D208" s="5" t="str">
        <f t="shared" si="10"/>
        <v/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 t="str">
        <f t="shared" si="11"/>
        <v/>
      </c>
      <c r="T208" s="5"/>
      <c r="U208" s="5"/>
    </row>
    <row r="209" spans="1:21" ht="15.5" x14ac:dyDescent="0.3">
      <c r="A209" s="5">
        <v>448</v>
      </c>
      <c r="B209" s="5"/>
      <c r="C209" s="5" t="str">
        <f t="shared" si="9"/>
        <v/>
      </c>
      <c r="D209" s="5" t="str">
        <f t="shared" si="10"/>
        <v/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 t="str">
        <f t="shared" si="11"/>
        <v/>
      </c>
      <c r="T209" s="5"/>
      <c r="U209" s="5"/>
    </row>
    <row r="210" spans="1:21" ht="15.5" x14ac:dyDescent="0.3">
      <c r="A210" s="5">
        <v>449</v>
      </c>
      <c r="B210" s="5"/>
      <c r="C210" s="5" t="str">
        <f t="shared" ref="C210:C273" si="12">IF(TRIM($B210)&lt;&gt; "",$S210+$T210+$L210+$N210-$M210,"")</f>
        <v/>
      </c>
      <c r="D210" s="5" t="str">
        <f t="shared" ref="D210:D273" si="13">IF(TRIM($B210)= "","",IF($E$4="D. TYPE: UNDER-GRADUATE", IF($C210&gt;=70,"A",IF($C210&gt;=60,"B",IF($C210&gt;=50,"C",IF($C210&gt;=45,"D",IF($C210&gt;=40,"E",IF(TRIM($B210)&lt;&gt; "","F","")))))), IF($E$4="D. TYPE: BASIC",IF($C210&gt;=70,"A",IF($C210&gt;=60,"B",IF( $C210&gt;=50,"C",IF( $C210 &gt;=40,"D",IF(TRIM($B210)&lt;&gt; "","F",""))))), IF($E$4="D. TYPE: CERTIFICATE",IF($C210&gt;=70,"A",IF($C210&gt;=60,"B",IF($C210&gt;=50,"C",IF($C210&gt;=40,"D",IF(TRIM($B210)&lt;&gt; "","F",""))))),  IF($C210&gt;=70,"A",IF($C210&gt;=60,"B",IF($C210&gt;=50,"C",IF(TRIM($B210)&lt;&gt; "","F",""))))))))</f>
        <v/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 t="str">
        <f t="shared" ref="S210:S273" si="14">IF(TRIM($B210)&lt;&gt; "",$F210+$G210+$H210+$I210+$J210+$K210,"")</f>
        <v/>
      </c>
      <c r="T210" s="5"/>
      <c r="U210" s="5"/>
    </row>
    <row r="211" spans="1:21" ht="15.5" x14ac:dyDescent="0.3">
      <c r="A211" s="5">
        <v>450</v>
      </c>
      <c r="B211" s="5"/>
      <c r="C211" s="5" t="str">
        <f t="shared" si="12"/>
        <v/>
      </c>
      <c r="D211" s="5" t="str">
        <f t="shared" si="13"/>
        <v/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 t="str">
        <f t="shared" si="14"/>
        <v/>
      </c>
      <c r="T211" s="5"/>
      <c r="U211" s="5"/>
    </row>
    <row r="212" spans="1:21" ht="15.5" x14ac:dyDescent="0.3">
      <c r="A212" s="5">
        <v>451</v>
      </c>
      <c r="B212" s="5"/>
      <c r="C212" s="5" t="str">
        <f t="shared" si="12"/>
        <v/>
      </c>
      <c r="D212" s="5" t="str">
        <f t="shared" si="13"/>
        <v/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 t="str">
        <f t="shared" si="14"/>
        <v/>
      </c>
      <c r="T212" s="5"/>
      <c r="U212" s="5"/>
    </row>
    <row r="213" spans="1:21" ht="15.5" x14ac:dyDescent="0.3">
      <c r="A213" s="5">
        <v>452</v>
      </c>
      <c r="B213" s="5"/>
      <c r="C213" s="5" t="str">
        <f t="shared" si="12"/>
        <v/>
      </c>
      <c r="D213" s="5" t="str">
        <f t="shared" si="13"/>
        <v/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 t="str">
        <f t="shared" si="14"/>
        <v/>
      </c>
      <c r="T213" s="5"/>
      <c r="U213" s="5"/>
    </row>
    <row r="214" spans="1:21" ht="15.5" x14ac:dyDescent="0.3">
      <c r="A214" s="5">
        <v>453</v>
      </c>
      <c r="B214" s="5"/>
      <c r="C214" s="5" t="str">
        <f t="shared" si="12"/>
        <v/>
      </c>
      <c r="D214" s="5" t="str">
        <f t="shared" si="13"/>
        <v/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 t="str">
        <f t="shared" si="14"/>
        <v/>
      </c>
      <c r="T214" s="5"/>
      <c r="U214" s="5"/>
    </row>
    <row r="215" spans="1:21" ht="15.5" x14ac:dyDescent="0.3">
      <c r="A215" s="5">
        <v>454</v>
      </c>
      <c r="B215" s="5"/>
      <c r="C215" s="5" t="str">
        <f t="shared" si="12"/>
        <v/>
      </c>
      <c r="D215" s="5" t="str">
        <f t="shared" si="13"/>
        <v/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 t="str">
        <f t="shared" si="14"/>
        <v/>
      </c>
      <c r="T215" s="5"/>
      <c r="U215" s="5"/>
    </row>
    <row r="216" spans="1:21" ht="15.5" x14ac:dyDescent="0.3">
      <c r="A216" s="5">
        <v>455</v>
      </c>
      <c r="B216" s="5"/>
      <c r="C216" s="5" t="str">
        <f t="shared" si="12"/>
        <v/>
      </c>
      <c r="D216" s="5" t="str">
        <f t="shared" si="13"/>
        <v/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 t="str">
        <f t="shared" si="14"/>
        <v/>
      </c>
      <c r="T216" s="5"/>
      <c r="U216" s="5"/>
    </row>
    <row r="217" spans="1:21" ht="15.5" x14ac:dyDescent="0.3">
      <c r="A217" s="5">
        <v>456</v>
      </c>
      <c r="B217" s="5"/>
      <c r="C217" s="5" t="str">
        <f t="shared" si="12"/>
        <v/>
      </c>
      <c r="D217" s="5" t="str">
        <f t="shared" si="13"/>
        <v/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 t="str">
        <f t="shared" si="14"/>
        <v/>
      </c>
      <c r="T217" s="5"/>
      <c r="U217" s="5"/>
    </row>
    <row r="218" spans="1:21" ht="15.5" x14ac:dyDescent="0.3">
      <c r="A218" s="5">
        <v>457</v>
      </c>
      <c r="B218" s="5"/>
      <c r="C218" s="5" t="str">
        <f t="shared" si="12"/>
        <v/>
      </c>
      <c r="D218" s="5" t="str">
        <f t="shared" si="13"/>
        <v/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 t="str">
        <f t="shared" si="14"/>
        <v/>
      </c>
      <c r="T218" s="5"/>
      <c r="U218" s="5"/>
    </row>
    <row r="219" spans="1:21" ht="15.5" x14ac:dyDescent="0.3">
      <c r="A219" s="5">
        <v>458</v>
      </c>
      <c r="B219" s="5"/>
      <c r="C219" s="5" t="str">
        <f t="shared" si="12"/>
        <v/>
      </c>
      <c r="D219" s="5" t="str">
        <f t="shared" si="13"/>
        <v/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 t="str">
        <f t="shared" si="14"/>
        <v/>
      </c>
      <c r="T219" s="5"/>
      <c r="U219" s="5"/>
    </row>
    <row r="220" spans="1:21" ht="15.5" x14ac:dyDescent="0.3">
      <c r="A220" s="5">
        <v>459</v>
      </c>
      <c r="B220" s="5"/>
      <c r="C220" s="5" t="str">
        <f t="shared" si="12"/>
        <v/>
      </c>
      <c r="D220" s="5" t="str">
        <f t="shared" si="13"/>
        <v/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 t="str">
        <f t="shared" si="14"/>
        <v/>
      </c>
      <c r="T220" s="5"/>
      <c r="U220" s="5"/>
    </row>
    <row r="221" spans="1:21" ht="15.5" x14ac:dyDescent="0.3">
      <c r="A221" s="5">
        <v>460</v>
      </c>
      <c r="B221" s="5"/>
      <c r="C221" s="5" t="str">
        <f t="shared" si="12"/>
        <v/>
      </c>
      <c r="D221" s="5" t="str">
        <f t="shared" si="13"/>
        <v/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 t="str">
        <f t="shared" si="14"/>
        <v/>
      </c>
      <c r="T221" s="5"/>
      <c r="U221" s="5"/>
    </row>
    <row r="222" spans="1:21" ht="15.5" x14ac:dyDescent="0.3">
      <c r="A222" s="5">
        <v>461</v>
      </c>
      <c r="B222" s="5"/>
      <c r="C222" s="5" t="str">
        <f t="shared" si="12"/>
        <v/>
      </c>
      <c r="D222" s="5" t="str">
        <f t="shared" si="13"/>
        <v/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 t="str">
        <f t="shared" si="14"/>
        <v/>
      </c>
      <c r="T222" s="5"/>
      <c r="U222" s="5"/>
    </row>
    <row r="223" spans="1:21" ht="15.5" x14ac:dyDescent="0.3">
      <c r="A223" s="5">
        <v>462</v>
      </c>
      <c r="B223" s="5"/>
      <c r="C223" s="5" t="str">
        <f t="shared" si="12"/>
        <v/>
      </c>
      <c r="D223" s="5" t="str">
        <f t="shared" si="13"/>
        <v/>
      </c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 t="str">
        <f t="shared" si="14"/>
        <v/>
      </c>
      <c r="T223" s="5"/>
      <c r="U223" s="5"/>
    </row>
    <row r="224" spans="1:21" ht="15.5" x14ac:dyDescent="0.3">
      <c r="A224" s="5">
        <v>463</v>
      </c>
      <c r="B224" s="5"/>
      <c r="C224" s="5" t="str">
        <f t="shared" si="12"/>
        <v/>
      </c>
      <c r="D224" s="5" t="str">
        <f t="shared" si="13"/>
        <v/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 t="str">
        <f t="shared" si="14"/>
        <v/>
      </c>
      <c r="T224" s="5"/>
      <c r="U224" s="5"/>
    </row>
    <row r="225" spans="1:21" ht="15.5" x14ac:dyDescent="0.3">
      <c r="A225" s="5">
        <v>464</v>
      </c>
      <c r="B225" s="5"/>
      <c r="C225" s="5" t="str">
        <f t="shared" si="12"/>
        <v/>
      </c>
      <c r="D225" s="5" t="str">
        <f t="shared" si="13"/>
        <v/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 t="str">
        <f t="shared" si="14"/>
        <v/>
      </c>
      <c r="T225" s="5"/>
      <c r="U225" s="5"/>
    </row>
    <row r="226" spans="1:21" ht="15.5" x14ac:dyDescent="0.3">
      <c r="A226" s="5">
        <v>465</v>
      </c>
      <c r="B226" s="5"/>
      <c r="C226" s="5" t="str">
        <f t="shared" si="12"/>
        <v/>
      </c>
      <c r="D226" s="5" t="str">
        <f t="shared" si="13"/>
        <v/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 t="str">
        <f t="shared" si="14"/>
        <v/>
      </c>
      <c r="T226" s="5"/>
      <c r="U226" s="5"/>
    </row>
    <row r="227" spans="1:21" ht="15.5" x14ac:dyDescent="0.3">
      <c r="A227" s="5">
        <v>466</v>
      </c>
      <c r="B227" s="5"/>
      <c r="C227" s="5" t="str">
        <f t="shared" si="12"/>
        <v/>
      </c>
      <c r="D227" s="5" t="str">
        <f t="shared" si="13"/>
        <v/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 t="str">
        <f t="shared" si="14"/>
        <v/>
      </c>
      <c r="T227" s="5"/>
      <c r="U227" s="5"/>
    </row>
    <row r="228" spans="1:21" ht="15.5" x14ac:dyDescent="0.3">
      <c r="A228" s="5">
        <v>467</v>
      </c>
      <c r="B228" s="5"/>
      <c r="C228" s="5" t="str">
        <f t="shared" si="12"/>
        <v/>
      </c>
      <c r="D228" s="5" t="str">
        <f t="shared" si="13"/>
        <v/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 t="str">
        <f t="shared" si="14"/>
        <v/>
      </c>
      <c r="T228" s="5"/>
      <c r="U228" s="5"/>
    </row>
    <row r="229" spans="1:21" ht="15.5" x14ac:dyDescent="0.3">
      <c r="A229" s="5">
        <v>468</v>
      </c>
      <c r="B229" s="5"/>
      <c r="C229" s="5" t="str">
        <f t="shared" si="12"/>
        <v/>
      </c>
      <c r="D229" s="5" t="str">
        <f t="shared" si="13"/>
        <v/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 t="str">
        <f t="shared" si="14"/>
        <v/>
      </c>
      <c r="T229" s="5"/>
      <c r="U229" s="5"/>
    </row>
    <row r="230" spans="1:21" ht="15.5" x14ac:dyDescent="0.3">
      <c r="A230" s="5">
        <v>469</v>
      </c>
      <c r="B230" s="5"/>
      <c r="C230" s="5" t="str">
        <f t="shared" si="12"/>
        <v/>
      </c>
      <c r="D230" s="5" t="str">
        <f t="shared" si="13"/>
        <v/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 t="str">
        <f t="shared" si="14"/>
        <v/>
      </c>
      <c r="T230" s="5"/>
      <c r="U230" s="5"/>
    </row>
    <row r="231" spans="1:21" ht="15.5" x14ac:dyDescent="0.3">
      <c r="A231" s="5">
        <v>470</v>
      </c>
      <c r="B231" s="5"/>
      <c r="C231" s="5" t="str">
        <f t="shared" si="12"/>
        <v/>
      </c>
      <c r="D231" s="5" t="str">
        <f t="shared" si="13"/>
        <v/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 t="str">
        <f t="shared" si="14"/>
        <v/>
      </c>
      <c r="T231" s="5"/>
      <c r="U231" s="5"/>
    </row>
    <row r="232" spans="1:21" ht="15.5" x14ac:dyDescent="0.3">
      <c r="A232" s="5">
        <v>471</v>
      </c>
      <c r="B232" s="5"/>
      <c r="C232" s="5" t="str">
        <f t="shared" si="12"/>
        <v/>
      </c>
      <c r="D232" s="5" t="str">
        <f t="shared" si="13"/>
        <v/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 t="str">
        <f t="shared" si="14"/>
        <v/>
      </c>
      <c r="T232" s="5"/>
      <c r="U232" s="5"/>
    </row>
    <row r="233" spans="1:21" ht="15.5" x14ac:dyDescent="0.3">
      <c r="A233" s="5">
        <v>472</v>
      </c>
      <c r="B233" s="5"/>
      <c r="C233" s="5" t="str">
        <f t="shared" si="12"/>
        <v/>
      </c>
      <c r="D233" s="5" t="str">
        <f t="shared" si="13"/>
        <v/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 t="str">
        <f t="shared" si="14"/>
        <v/>
      </c>
      <c r="T233" s="5"/>
      <c r="U233" s="5"/>
    </row>
    <row r="234" spans="1:21" ht="15.5" x14ac:dyDescent="0.3">
      <c r="A234" s="5">
        <v>473</v>
      </c>
      <c r="B234" s="5"/>
      <c r="C234" s="5" t="str">
        <f t="shared" si="12"/>
        <v/>
      </c>
      <c r="D234" s="5" t="str">
        <f t="shared" si="13"/>
        <v/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 t="str">
        <f t="shared" si="14"/>
        <v/>
      </c>
      <c r="T234" s="5"/>
      <c r="U234" s="5"/>
    </row>
    <row r="235" spans="1:21" ht="15.5" x14ac:dyDescent="0.3">
      <c r="A235" s="5">
        <v>474</v>
      </c>
      <c r="B235" s="5"/>
      <c r="C235" s="5" t="str">
        <f t="shared" si="12"/>
        <v/>
      </c>
      <c r="D235" s="5" t="str">
        <f t="shared" si="13"/>
        <v/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 t="str">
        <f t="shared" si="14"/>
        <v/>
      </c>
      <c r="T235" s="5"/>
      <c r="U235" s="5"/>
    </row>
    <row r="236" spans="1:21" ht="15.5" x14ac:dyDescent="0.3">
      <c r="A236" s="5">
        <v>475</v>
      </c>
      <c r="B236" s="5"/>
      <c r="C236" s="5" t="str">
        <f t="shared" si="12"/>
        <v/>
      </c>
      <c r="D236" s="5" t="str">
        <f t="shared" si="13"/>
        <v/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 t="str">
        <f t="shared" si="14"/>
        <v/>
      </c>
      <c r="T236" s="5"/>
      <c r="U236" s="5"/>
    </row>
    <row r="237" spans="1:21" ht="15.5" x14ac:dyDescent="0.3">
      <c r="A237" s="5">
        <v>476</v>
      </c>
      <c r="B237" s="5"/>
      <c r="C237" s="5" t="str">
        <f t="shared" si="12"/>
        <v/>
      </c>
      <c r="D237" s="5" t="str">
        <f t="shared" si="13"/>
        <v/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 t="str">
        <f t="shared" si="14"/>
        <v/>
      </c>
      <c r="T237" s="5"/>
      <c r="U237" s="5"/>
    </row>
    <row r="238" spans="1:21" ht="15.5" x14ac:dyDescent="0.3">
      <c r="A238" s="5">
        <v>477</v>
      </c>
      <c r="B238" s="5"/>
      <c r="C238" s="5" t="str">
        <f t="shared" si="12"/>
        <v/>
      </c>
      <c r="D238" s="5" t="str">
        <f t="shared" si="13"/>
        <v/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 t="str">
        <f t="shared" si="14"/>
        <v/>
      </c>
      <c r="T238" s="5"/>
      <c r="U238" s="5"/>
    </row>
    <row r="239" spans="1:21" ht="15.5" x14ac:dyDescent="0.3">
      <c r="A239" s="5">
        <v>478</v>
      </c>
      <c r="B239" s="5"/>
      <c r="C239" s="5" t="str">
        <f t="shared" si="12"/>
        <v/>
      </c>
      <c r="D239" s="5" t="str">
        <f t="shared" si="13"/>
        <v/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 t="str">
        <f t="shared" si="14"/>
        <v/>
      </c>
      <c r="T239" s="5"/>
      <c r="U239" s="5"/>
    </row>
    <row r="240" spans="1:21" ht="15.5" x14ac:dyDescent="0.3">
      <c r="A240" s="5">
        <v>479</v>
      </c>
      <c r="B240" s="5"/>
      <c r="C240" s="5" t="str">
        <f t="shared" si="12"/>
        <v/>
      </c>
      <c r="D240" s="5" t="str">
        <f t="shared" si="13"/>
        <v/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 t="str">
        <f t="shared" si="14"/>
        <v/>
      </c>
      <c r="T240" s="5"/>
      <c r="U240" s="5"/>
    </row>
    <row r="241" spans="1:21" ht="15.5" x14ac:dyDescent="0.3">
      <c r="A241" s="5">
        <v>480</v>
      </c>
      <c r="B241" s="5"/>
      <c r="C241" s="5" t="str">
        <f t="shared" si="12"/>
        <v/>
      </c>
      <c r="D241" s="5" t="str">
        <f t="shared" si="13"/>
        <v/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 t="str">
        <f t="shared" si="14"/>
        <v/>
      </c>
      <c r="T241" s="5"/>
      <c r="U241" s="5"/>
    </row>
    <row r="242" spans="1:21" ht="15.5" x14ac:dyDescent="0.3">
      <c r="A242" s="5">
        <v>481</v>
      </c>
      <c r="B242" s="5"/>
      <c r="C242" s="5" t="str">
        <f t="shared" si="12"/>
        <v/>
      </c>
      <c r="D242" s="5" t="str">
        <f t="shared" si="13"/>
        <v/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 t="str">
        <f t="shared" si="14"/>
        <v/>
      </c>
      <c r="T242" s="5"/>
      <c r="U242" s="5"/>
    </row>
    <row r="243" spans="1:21" ht="15.5" x14ac:dyDescent="0.3">
      <c r="A243" s="5">
        <v>482</v>
      </c>
      <c r="B243" s="5"/>
      <c r="C243" s="5" t="str">
        <f t="shared" si="12"/>
        <v/>
      </c>
      <c r="D243" s="5" t="str">
        <f t="shared" si="13"/>
        <v/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 t="str">
        <f t="shared" si="14"/>
        <v/>
      </c>
      <c r="T243" s="5"/>
      <c r="U243" s="5"/>
    </row>
    <row r="244" spans="1:21" ht="15.5" x14ac:dyDescent="0.3">
      <c r="A244" s="5">
        <v>483</v>
      </c>
      <c r="B244" s="5"/>
      <c r="C244" s="5" t="str">
        <f t="shared" si="12"/>
        <v/>
      </c>
      <c r="D244" s="5" t="str">
        <f t="shared" si="13"/>
        <v/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 t="str">
        <f t="shared" si="14"/>
        <v/>
      </c>
      <c r="T244" s="5"/>
      <c r="U244" s="5"/>
    </row>
    <row r="245" spans="1:21" ht="15.5" x14ac:dyDescent="0.3">
      <c r="A245" s="5">
        <v>484</v>
      </c>
      <c r="B245" s="5"/>
      <c r="C245" s="5" t="str">
        <f t="shared" si="12"/>
        <v/>
      </c>
      <c r="D245" s="5" t="str">
        <f t="shared" si="13"/>
        <v/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 t="str">
        <f t="shared" si="14"/>
        <v/>
      </c>
      <c r="T245" s="5"/>
      <c r="U245" s="5"/>
    </row>
    <row r="246" spans="1:21" ht="15.5" x14ac:dyDescent="0.3">
      <c r="A246" s="5">
        <v>485</v>
      </c>
      <c r="B246" s="5"/>
      <c r="C246" s="5" t="str">
        <f t="shared" si="12"/>
        <v/>
      </c>
      <c r="D246" s="5" t="str">
        <f t="shared" si="13"/>
        <v/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 t="str">
        <f t="shared" si="14"/>
        <v/>
      </c>
      <c r="T246" s="5"/>
      <c r="U246" s="5"/>
    </row>
    <row r="247" spans="1:21" ht="15.5" x14ac:dyDescent="0.3">
      <c r="A247" s="5">
        <v>486</v>
      </c>
      <c r="B247" s="5"/>
      <c r="C247" s="5" t="str">
        <f t="shared" si="12"/>
        <v/>
      </c>
      <c r="D247" s="5" t="str">
        <f t="shared" si="13"/>
        <v/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 t="str">
        <f t="shared" si="14"/>
        <v/>
      </c>
      <c r="T247" s="5"/>
      <c r="U247" s="5"/>
    </row>
    <row r="248" spans="1:21" ht="15.5" x14ac:dyDescent="0.3">
      <c r="A248" s="5">
        <v>487</v>
      </c>
      <c r="B248" s="5"/>
      <c r="C248" s="5" t="str">
        <f t="shared" si="12"/>
        <v/>
      </c>
      <c r="D248" s="5" t="str">
        <f t="shared" si="13"/>
        <v/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 t="str">
        <f t="shared" si="14"/>
        <v/>
      </c>
      <c r="T248" s="5"/>
      <c r="U248" s="5"/>
    </row>
    <row r="249" spans="1:21" ht="15.5" x14ac:dyDescent="0.3">
      <c r="A249" s="5">
        <v>488</v>
      </c>
      <c r="B249" s="5"/>
      <c r="C249" s="5" t="str">
        <f t="shared" si="12"/>
        <v/>
      </c>
      <c r="D249" s="5" t="str">
        <f t="shared" si="13"/>
        <v/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 t="str">
        <f t="shared" si="14"/>
        <v/>
      </c>
      <c r="T249" s="5"/>
      <c r="U249" s="5"/>
    </row>
    <row r="250" spans="1:21" ht="15.5" x14ac:dyDescent="0.3">
      <c r="A250" s="5">
        <v>489</v>
      </c>
      <c r="B250" s="5"/>
      <c r="C250" s="5" t="str">
        <f t="shared" si="12"/>
        <v/>
      </c>
      <c r="D250" s="5" t="str">
        <f t="shared" si="13"/>
        <v/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 t="str">
        <f t="shared" si="14"/>
        <v/>
      </c>
      <c r="T250" s="5"/>
      <c r="U250" s="5"/>
    </row>
    <row r="251" spans="1:21" ht="15.5" x14ac:dyDescent="0.3">
      <c r="A251" s="5">
        <v>490</v>
      </c>
      <c r="B251" s="5"/>
      <c r="C251" s="5" t="str">
        <f t="shared" si="12"/>
        <v/>
      </c>
      <c r="D251" s="5" t="str">
        <f t="shared" si="13"/>
        <v/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 t="str">
        <f t="shared" si="14"/>
        <v/>
      </c>
      <c r="T251" s="5"/>
      <c r="U251" s="5"/>
    </row>
    <row r="252" spans="1:21" ht="15.5" x14ac:dyDescent="0.3">
      <c r="A252" s="5">
        <v>491</v>
      </c>
      <c r="B252" s="5"/>
      <c r="C252" s="5" t="str">
        <f t="shared" si="12"/>
        <v/>
      </c>
      <c r="D252" s="5" t="str">
        <f t="shared" si="13"/>
        <v/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 t="str">
        <f t="shared" si="14"/>
        <v/>
      </c>
      <c r="T252" s="5"/>
      <c r="U252" s="5"/>
    </row>
    <row r="253" spans="1:21" ht="15.5" x14ac:dyDescent="0.3">
      <c r="A253" s="5">
        <v>492</v>
      </c>
      <c r="B253" s="5"/>
      <c r="C253" s="5" t="str">
        <f t="shared" si="12"/>
        <v/>
      </c>
      <c r="D253" s="5" t="str">
        <f t="shared" si="13"/>
        <v/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 t="str">
        <f t="shared" si="14"/>
        <v/>
      </c>
      <c r="T253" s="5"/>
      <c r="U253" s="5"/>
    </row>
    <row r="254" spans="1:21" ht="15.5" x14ac:dyDescent="0.3">
      <c r="A254" s="5">
        <v>493</v>
      </c>
      <c r="B254" s="5"/>
      <c r="C254" s="5" t="str">
        <f t="shared" si="12"/>
        <v/>
      </c>
      <c r="D254" s="5" t="str">
        <f t="shared" si="13"/>
        <v/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 t="str">
        <f t="shared" si="14"/>
        <v/>
      </c>
      <c r="T254" s="5"/>
      <c r="U254" s="5"/>
    </row>
    <row r="255" spans="1:21" ht="15.5" x14ac:dyDescent="0.3">
      <c r="A255" s="5">
        <v>494</v>
      </c>
      <c r="B255" s="5"/>
      <c r="C255" s="5" t="str">
        <f t="shared" si="12"/>
        <v/>
      </c>
      <c r="D255" s="5" t="str">
        <f t="shared" si="13"/>
        <v/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 t="str">
        <f t="shared" si="14"/>
        <v/>
      </c>
      <c r="T255" s="5"/>
      <c r="U255" s="5"/>
    </row>
    <row r="256" spans="1:21" ht="15.5" x14ac:dyDescent="0.3">
      <c r="A256" s="5">
        <v>495</v>
      </c>
      <c r="B256" s="5"/>
      <c r="C256" s="5" t="str">
        <f t="shared" si="12"/>
        <v/>
      </c>
      <c r="D256" s="5" t="str">
        <f t="shared" si="13"/>
        <v/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 t="str">
        <f t="shared" si="14"/>
        <v/>
      </c>
      <c r="T256" s="5"/>
      <c r="U256" s="5"/>
    </row>
    <row r="257" spans="1:21" ht="15.5" x14ac:dyDescent="0.3">
      <c r="A257" s="5">
        <v>496</v>
      </c>
      <c r="B257" s="5"/>
      <c r="C257" s="5" t="str">
        <f t="shared" si="12"/>
        <v/>
      </c>
      <c r="D257" s="5" t="str">
        <f t="shared" si="13"/>
        <v/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 t="str">
        <f t="shared" si="14"/>
        <v/>
      </c>
      <c r="T257" s="5"/>
      <c r="U257" s="5"/>
    </row>
    <row r="258" spans="1:21" ht="15.5" x14ac:dyDescent="0.3">
      <c r="A258" s="5">
        <v>497</v>
      </c>
      <c r="B258" s="5"/>
      <c r="C258" s="5" t="str">
        <f t="shared" si="12"/>
        <v/>
      </c>
      <c r="D258" s="5" t="str">
        <f t="shared" si="13"/>
        <v/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 t="str">
        <f t="shared" si="14"/>
        <v/>
      </c>
      <c r="T258" s="5"/>
      <c r="U258" s="5"/>
    </row>
    <row r="259" spans="1:21" ht="15.5" x14ac:dyDescent="0.3">
      <c r="A259" s="5">
        <v>498</v>
      </c>
      <c r="B259" s="5"/>
      <c r="C259" s="5" t="str">
        <f t="shared" si="12"/>
        <v/>
      </c>
      <c r="D259" s="5" t="str">
        <f t="shared" si="13"/>
        <v/>
      </c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 t="str">
        <f t="shared" si="14"/>
        <v/>
      </c>
      <c r="T259" s="5"/>
      <c r="U259" s="5"/>
    </row>
    <row r="260" spans="1:21" ht="15.5" x14ac:dyDescent="0.3">
      <c r="A260" s="5">
        <v>499</v>
      </c>
      <c r="B260" s="5"/>
      <c r="C260" s="5" t="str">
        <f t="shared" si="12"/>
        <v/>
      </c>
      <c r="D260" s="5" t="str">
        <f t="shared" si="13"/>
        <v/>
      </c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 t="str">
        <f t="shared" si="14"/>
        <v/>
      </c>
      <c r="T260" s="5"/>
      <c r="U260" s="5"/>
    </row>
    <row r="261" spans="1:21" ht="15.5" x14ac:dyDescent="0.3">
      <c r="A261" s="5">
        <v>500</v>
      </c>
      <c r="B261" s="5"/>
      <c r="C261" s="5" t="str">
        <f t="shared" si="12"/>
        <v/>
      </c>
      <c r="D261" s="5" t="str">
        <f t="shared" si="13"/>
        <v/>
      </c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 t="str">
        <f t="shared" si="14"/>
        <v/>
      </c>
      <c r="T261" s="5"/>
      <c r="U261" s="5"/>
    </row>
    <row r="262" spans="1:21" ht="15.5" x14ac:dyDescent="0.3">
      <c r="A262" s="5">
        <v>501</v>
      </c>
      <c r="B262" s="5"/>
      <c r="C262" s="5" t="str">
        <f t="shared" si="12"/>
        <v/>
      </c>
      <c r="D262" s="5" t="str">
        <f t="shared" si="13"/>
        <v/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 t="str">
        <f t="shared" si="14"/>
        <v/>
      </c>
      <c r="T262" s="5"/>
      <c r="U262" s="5"/>
    </row>
    <row r="263" spans="1:21" ht="15.5" x14ac:dyDescent="0.3">
      <c r="A263" s="5">
        <v>502</v>
      </c>
      <c r="B263" s="5"/>
      <c r="C263" s="5" t="str">
        <f t="shared" si="12"/>
        <v/>
      </c>
      <c r="D263" s="5" t="str">
        <f t="shared" si="13"/>
        <v/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 t="str">
        <f t="shared" si="14"/>
        <v/>
      </c>
      <c r="T263" s="5"/>
      <c r="U263" s="5"/>
    </row>
    <row r="264" spans="1:21" ht="15.5" x14ac:dyDescent="0.3">
      <c r="A264" s="5">
        <v>503</v>
      </c>
      <c r="B264" s="5"/>
      <c r="C264" s="5" t="str">
        <f t="shared" si="12"/>
        <v/>
      </c>
      <c r="D264" s="5" t="str">
        <f t="shared" si="13"/>
        <v/>
      </c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 t="str">
        <f t="shared" si="14"/>
        <v/>
      </c>
      <c r="T264" s="5"/>
      <c r="U264" s="5"/>
    </row>
    <row r="265" spans="1:21" ht="15.5" x14ac:dyDescent="0.3">
      <c r="A265" s="5">
        <v>504</v>
      </c>
      <c r="B265" s="5"/>
      <c r="C265" s="5" t="str">
        <f t="shared" si="12"/>
        <v/>
      </c>
      <c r="D265" s="5" t="str">
        <f t="shared" si="13"/>
        <v/>
      </c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 t="str">
        <f t="shared" si="14"/>
        <v/>
      </c>
      <c r="T265" s="5"/>
      <c r="U265" s="5"/>
    </row>
    <row r="266" spans="1:21" ht="15.5" x14ac:dyDescent="0.3">
      <c r="A266" s="5">
        <v>505</v>
      </c>
      <c r="B266" s="5"/>
      <c r="C266" s="5" t="str">
        <f t="shared" si="12"/>
        <v/>
      </c>
      <c r="D266" s="5" t="str">
        <f t="shared" si="13"/>
        <v/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 t="str">
        <f t="shared" si="14"/>
        <v/>
      </c>
      <c r="T266" s="5"/>
      <c r="U266" s="5"/>
    </row>
    <row r="267" spans="1:21" ht="15.5" x14ac:dyDescent="0.3">
      <c r="A267" s="5">
        <v>506</v>
      </c>
      <c r="B267" s="5"/>
      <c r="C267" s="5" t="str">
        <f t="shared" si="12"/>
        <v/>
      </c>
      <c r="D267" s="5" t="str">
        <f t="shared" si="13"/>
        <v/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 t="str">
        <f t="shared" si="14"/>
        <v/>
      </c>
      <c r="T267" s="5"/>
      <c r="U267" s="5"/>
    </row>
    <row r="268" spans="1:21" ht="15.5" x14ac:dyDescent="0.3">
      <c r="A268" s="5">
        <v>507</v>
      </c>
      <c r="B268" s="5"/>
      <c r="C268" s="5" t="str">
        <f t="shared" si="12"/>
        <v/>
      </c>
      <c r="D268" s="5" t="str">
        <f t="shared" si="13"/>
        <v/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 t="str">
        <f t="shared" si="14"/>
        <v/>
      </c>
      <c r="T268" s="5"/>
      <c r="U268" s="5"/>
    </row>
    <row r="269" spans="1:21" ht="15.5" x14ac:dyDescent="0.3">
      <c r="A269" s="5">
        <v>508</v>
      </c>
      <c r="B269" s="5"/>
      <c r="C269" s="5" t="str">
        <f t="shared" si="12"/>
        <v/>
      </c>
      <c r="D269" s="5" t="str">
        <f t="shared" si="13"/>
        <v/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 t="str">
        <f t="shared" si="14"/>
        <v/>
      </c>
      <c r="T269" s="5"/>
      <c r="U269" s="5"/>
    </row>
    <row r="270" spans="1:21" ht="15.5" x14ac:dyDescent="0.3">
      <c r="A270" s="5">
        <v>509</v>
      </c>
      <c r="B270" s="5"/>
      <c r="C270" s="5" t="str">
        <f t="shared" si="12"/>
        <v/>
      </c>
      <c r="D270" s="5" t="str">
        <f t="shared" si="13"/>
        <v/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 t="str">
        <f t="shared" si="14"/>
        <v/>
      </c>
      <c r="T270" s="5"/>
      <c r="U270" s="5"/>
    </row>
    <row r="271" spans="1:21" ht="15.5" x14ac:dyDescent="0.3">
      <c r="A271" s="5">
        <v>510</v>
      </c>
      <c r="B271" s="5"/>
      <c r="C271" s="5" t="str">
        <f t="shared" si="12"/>
        <v/>
      </c>
      <c r="D271" s="5" t="str">
        <f t="shared" si="13"/>
        <v/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 t="str">
        <f t="shared" si="14"/>
        <v/>
      </c>
      <c r="T271" s="5"/>
      <c r="U271" s="5"/>
    </row>
    <row r="272" spans="1:21" ht="15.5" x14ac:dyDescent="0.3">
      <c r="A272" s="5">
        <v>511</v>
      </c>
      <c r="B272" s="5"/>
      <c r="C272" s="5" t="str">
        <f t="shared" si="12"/>
        <v/>
      </c>
      <c r="D272" s="5" t="str">
        <f t="shared" si="13"/>
        <v/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 t="str">
        <f t="shared" si="14"/>
        <v/>
      </c>
      <c r="T272" s="5"/>
      <c r="U272" s="5"/>
    </row>
    <row r="273" spans="1:21" ht="15.5" x14ac:dyDescent="0.3">
      <c r="A273" s="5">
        <v>512</v>
      </c>
      <c r="B273" s="5"/>
      <c r="C273" s="5" t="str">
        <f t="shared" si="12"/>
        <v/>
      </c>
      <c r="D273" s="5" t="str">
        <f t="shared" si="13"/>
        <v/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 t="str">
        <f t="shared" si="14"/>
        <v/>
      </c>
      <c r="T273" s="5"/>
      <c r="U273" s="5"/>
    </row>
    <row r="274" spans="1:21" ht="15.5" x14ac:dyDescent="0.3">
      <c r="A274" s="5">
        <v>513</v>
      </c>
      <c r="B274" s="5"/>
      <c r="C274" s="5" t="str">
        <f t="shared" ref="C274:C281" si="15">IF(TRIM($B274)&lt;&gt; "",$S274+$T274+$L274+$N274-$M274,"")</f>
        <v/>
      </c>
      <c r="D274" s="5" t="str">
        <f t="shared" ref="D274:D281" si="16">IF(TRIM($B274)= "","",IF($E$4="D. TYPE: UNDER-GRADUATE", IF($C274&gt;=70,"A",IF($C274&gt;=60,"B",IF($C274&gt;=50,"C",IF($C274&gt;=45,"D",IF($C274&gt;=40,"E",IF(TRIM($B274)&lt;&gt; "","F","")))))), IF($E$4="D. TYPE: BASIC",IF($C274&gt;=70,"A",IF($C274&gt;=60,"B",IF( $C274&gt;=50,"C",IF( $C274 &gt;=40,"D",IF(TRIM($B274)&lt;&gt; "","F",""))))), IF($E$4="D. TYPE: CERTIFICATE",IF($C274&gt;=70,"A",IF($C274&gt;=60,"B",IF($C274&gt;=50,"C",IF($C274&gt;=40,"D",IF(TRIM($B274)&lt;&gt; "","F",""))))),  IF($C274&gt;=70,"A",IF($C274&gt;=60,"B",IF($C274&gt;=50,"C",IF(TRIM($B274)&lt;&gt; "","F",""))))))))</f>
        <v/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 t="str">
        <f t="shared" ref="S274:S281" si="17">IF(TRIM($B274)&lt;&gt; "",$F274+$G274+$H274+$I274+$J274+$K274,"")</f>
        <v/>
      </c>
      <c r="T274" s="5"/>
      <c r="U274" s="5"/>
    </row>
    <row r="275" spans="1:21" ht="15.5" x14ac:dyDescent="0.3">
      <c r="A275" s="5">
        <v>514</v>
      </c>
      <c r="B275" s="5"/>
      <c r="C275" s="5" t="str">
        <f t="shared" si="15"/>
        <v/>
      </c>
      <c r="D275" s="5" t="str">
        <f t="shared" si="16"/>
        <v/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 t="str">
        <f t="shared" si="17"/>
        <v/>
      </c>
      <c r="T275" s="5"/>
      <c r="U275" s="5"/>
    </row>
    <row r="276" spans="1:21" ht="15.5" x14ac:dyDescent="0.3">
      <c r="A276" s="5">
        <v>515</v>
      </c>
      <c r="B276" s="5"/>
      <c r="C276" s="5" t="str">
        <f t="shared" si="15"/>
        <v/>
      </c>
      <c r="D276" s="5" t="str">
        <f t="shared" si="16"/>
        <v/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 t="str">
        <f t="shared" si="17"/>
        <v/>
      </c>
      <c r="T276" s="5"/>
      <c r="U276" s="5"/>
    </row>
    <row r="277" spans="1:21" ht="15.5" x14ac:dyDescent="0.3">
      <c r="A277" s="5">
        <v>516</v>
      </c>
      <c r="B277" s="5"/>
      <c r="C277" s="5" t="str">
        <f t="shared" si="15"/>
        <v/>
      </c>
      <c r="D277" s="5" t="str">
        <f t="shared" si="16"/>
        <v/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 t="str">
        <f t="shared" si="17"/>
        <v/>
      </c>
      <c r="T277" s="5"/>
      <c r="U277" s="5"/>
    </row>
    <row r="278" spans="1:21" ht="15.5" x14ac:dyDescent="0.3">
      <c r="A278" s="5">
        <v>517</v>
      </c>
      <c r="B278" s="5"/>
      <c r="C278" s="5" t="str">
        <f t="shared" si="15"/>
        <v/>
      </c>
      <c r="D278" s="5" t="str">
        <f t="shared" si="16"/>
        <v/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 t="str">
        <f t="shared" si="17"/>
        <v/>
      </c>
      <c r="T278" s="5"/>
      <c r="U278" s="5"/>
    </row>
    <row r="279" spans="1:21" ht="15.5" x14ac:dyDescent="0.3">
      <c r="A279" s="5">
        <v>518</v>
      </c>
      <c r="B279" s="5"/>
      <c r="C279" s="5" t="str">
        <f t="shared" si="15"/>
        <v/>
      </c>
      <c r="D279" s="5" t="str">
        <f t="shared" si="16"/>
        <v/>
      </c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 t="str">
        <f t="shared" si="17"/>
        <v/>
      </c>
      <c r="T279" s="5"/>
      <c r="U279" s="5"/>
    </row>
    <row r="280" spans="1:21" ht="15.5" x14ac:dyDescent="0.3">
      <c r="A280" s="5">
        <v>519</v>
      </c>
      <c r="B280" s="5"/>
      <c r="C280" s="5" t="str">
        <f t="shared" si="15"/>
        <v/>
      </c>
      <c r="D280" s="5" t="str">
        <f t="shared" si="16"/>
        <v/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 t="str">
        <f t="shared" si="17"/>
        <v/>
      </c>
      <c r="T280" s="5"/>
      <c r="U280" s="5"/>
    </row>
    <row r="281" spans="1:21" ht="15.5" x14ac:dyDescent="0.3">
      <c r="A281" s="5">
        <v>520</v>
      </c>
      <c r="B281" s="5"/>
      <c r="C281" s="5" t="str">
        <f t="shared" si="15"/>
        <v/>
      </c>
      <c r="D281" s="5" t="str">
        <f t="shared" si="16"/>
        <v/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 t="str">
        <f t="shared" si="17"/>
        <v/>
      </c>
      <c r="T281" s="5"/>
      <c r="U281" s="5"/>
    </row>
  </sheetData>
  <sheetProtection formatCells="0" formatColumns="0" formatRows="0" insertColumns="0" insertRows="0" insertHyperlinks="0" deleteColumns="0" deleteRows="0" sort="0" autoFilter="0" pivotTables="0"/>
  <mergeCells count="2">
    <mergeCell ref="L4:M4"/>
    <mergeCell ref="A7:P7"/>
  </mergeCells>
  <conditionalFormatting sqref="C45">
    <cfRule type="cellIs" dxfId="4351" priority="5685" operator="lessThan">
      <formula>0</formula>
    </cfRule>
  </conditionalFormatting>
  <conditionalFormatting sqref="C45">
    <cfRule type="cellIs" dxfId="4350" priority="5686" operator="greaterThan">
      <formula>100</formula>
    </cfRule>
  </conditionalFormatting>
  <conditionalFormatting sqref="F45">
    <cfRule type="cellIs" dxfId="4349" priority="5687" operator="lessThan">
      <formula>0</formula>
    </cfRule>
  </conditionalFormatting>
  <conditionalFormatting sqref="F45">
    <cfRule type="cellIs" dxfId="4348" priority="5688" operator="greaterThan">
      <formula>70</formula>
    </cfRule>
  </conditionalFormatting>
  <conditionalFormatting sqref="G45">
    <cfRule type="cellIs" dxfId="4347" priority="5689" operator="lessThan">
      <formula>0</formula>
    </cfRule>
  </conditionalFormatting>
  <conditionalFormatting sqref="G45">
    <cfRule type="cellIs" dxfId="4346" priority="5690" operator="greaterThan">
      <formula>70</formula>
    </cfRule>
  </conditionalFormatting>
  <conditionalFormatting sqref="H45">
    <cfRule type="cellIs" dxfId="4345" priority="5691" operator="lessThan">
      <formula>0</formula>
    </cfRule>
  </conditionalFormatting>
  <conditionalFormatting sqref="H45">
    <cfRule type="cellIs" dxfId="4344" priority="5692" operator="greaterThan">
      <formula>70</formula>
    </cfRule>
  </conditionalFormatting>
  <conditionalFormatting sqref="I45">
    <cfRule type="cellIs" dxfId="4343" priority="5693" operator="lessThan">
      <formula>0</formula>
    </cfRule>
  </conditionalFormatting>
  <conditionalFormatting sqref="I45">
    <cfRule type="cellIs" dxfId="4342" priority="5694" operator="greaterThan">
      <formula>70</formula>
    </cfRule>
  </conditionalFormatting>
  <conditionalFormatting sqref="J45">
    <cfRule type="cellIs" dxfId="4341" priority="5695" operator="lessThan">
      <formula>0</formula>
    </cfRule>
  </conditionalFormatting>
  <conditionalFormatting sqref="J45">
    <cfRule type="cellIs" dxfId="4340" priority="5696" operator="greaterThan">
      <formula>70</formula>
    </cfRule>
  </conditionalFormatting>
  <conditionalFormatting sqref="K45">
    <cfRule type="cellIs" dxfId="4339" priority="5697" operator="lessThan">
      <formula>0</formula>
    </cfRule>
  </conditionalFormatting>
  <conditionalFormatting sqref="K45">
    <cfRule type="cellIs" dxfId="4338" priority="5698" operator="greaterThan">
      <formula>70</formula>
    </cfRule>
  </conditionalFormatting>
  <conditionalFormatting sqref="L45">
    <cfRule type="cellIs" dxfId="4337" priority="5699" operator="lessThan">
      <formula>0</formula>
    </cfRule>
  </conditionalFormatting>
  <conditionalFormatting sqref="L45">
    <cfRule type="cellIs" dxfId="4336" priority="5700" operator="greaterThan">
      <formula>70</formula>
    </cfRule>
  </conditionalFormatting>
  <conditionalFormatting sqref="S45">
    <cfRule type="cellIs" dxfId="4335" priority="5701" operator="lessThan">
      <formula>0</formula>
    </cfRule>
  </conditionalFormatting>
  <conditionalFormatting sqref="S45">
    <cfRule type="cellIs" dxfId="4334" priority="5702" operator="greaterThan">
      <formula>70</formula>
    </cfRule>
  </conditionalFormatting>
  <conditionalFormatting sqref="T45">
    <cfRule type="cellIs" dxfId="4333" priority="5703" operator="lessThan">
      <formula>0</formula>
    </cfRule>
  </conditionalFormatting>
  <conditionalFormatting sqref="T45">
    <cfRule type="cellIs" dxfId="4332" priority="5704" operator="greaterThan">
      <formula>30</formula>
    </cfRule>
  </conditionalFormatting>
  <conditionalFormatting sqref="C46">
    <cfRule type="cellIs" dxfId="4331" priority="5705" operator="lessThan">
      <formula>0</formula>
    </cfRule>
  </conditionalFormatting>
  <conditionalFormatting sqref="C46">
    <cfRule type="cellIs" dxfId="4330" priority="5706" operator="greaterThan">
      <formula>100</formula>
    </cfRule>
  </conditionalFormatting>
  <conditionalFormatting sqref="F46">
    <cfRule type="cellIs" dxfId="4329" priority="5707" operator="lessThan">
      <formula>0</formula>
    </cfRule>
  </conditionalFormatting>
  <conditionalFormatting sqref="F46">
    <cfRule type="cellIs" dxfId="4328" priority="5708" operator="greaterThan">
      <formula>70</formula>
    </cfRule>
  </conditionalFormatting>
  <conditionalFormatting sqref="G46">
    <cfRule type="cellIs" dxfId="4327" priority="5709" operator="lessThan">
      <formula>0</formula>
    </cfRule>
  </conditionalFormatting>
  <conditionalFormatting sqref="G46">
    <cfRule type="cellIs" dxfId="4326" priority="5710" operator="greaterThan">
      <formula>70</formula>
    </cfRule>
  </conditionalFormatting>
  <conditionalFormatting sqref="H46">
    <cfRule type="cellIs" dxfId="4325" priority="5711" operator="lessThan">
      <formula>0</formula>
    </cfRule>
  </conditionalFormatting>
  <conditionalFormatting sqref="H46">
    <cfRule type="cellIs" dxfId="4324" priority="5712" operator="greaterThan">
      <formula>70</formula>
    </cfRule>
  </conditionalFormatting>
  <conditionalFormatting sqref="I46">
    <cfRule type="cellIs" dxfId="4323" priority="5713" operator="lessThan">
      <formula>0</formula>
    </cfRule>
  </conditionalFormatting>
  <conditionalFormatting sqref="I46">
    <cfRule type="cellIs" dxfId="4322" priority="5714" operator="greaterThan">
      <formula>70</formula>
    </cfRule>
  </conditionalFormatting>
  <conditionalFormatting sqref="J46">
    <cfRule type="cellIs" dxfId="4321" priority="5715" operator="lessThan">
      <formula>0</formula>
    </cfRule>
  </conditionalFormatting>
  <conditionalFormatting sqref="J46">
    <cfRule type="cellIs" dxfId="4320" priority="5716" operator="greaterThan">
      <formula>70</formula>
    </cfRule>
  </conditionalFormatting>
  <conditionalFormatting sqref="K46">
    <cfRule type="cellIs" dxfId="4319" priority="5717" operator="lessThan">
      <formula>0</formula>
    </cfRule>
  </conditionalFormatting>
  <conditionalFormatting sqref="K46">
    <cfRule type="cellIs" dxfId="4318" priority="5718" operator="greaterThan">
      <formula>70</formula>
    </cfRule>
  </conditionalFormatting>
  <conditionalFormatting sqref="L46">
    <cfRule type="cellIs" dxfId="4317" priority="5719" operator="lessThan">
      <formula>0</formula>
    </cfRule>
  </conditionalFormatting>
  <conditionalFormatting sqref="L46">
    <cfRule type="cellIs" dxfId="4316" priority="5720" operator="greaterThan">
      <formula>70</formula>
    </cfRule>
  </conditionalFormatting>
  <conditionalFormatting sqref="S46">
    <cfRule type="cellIs" dxfId="4315" priority="5721" operator="lessThan">
      <formula>0</formula>
    </cfRule>
  </conditionalFormatting>
  <conditionalFormatting sqref="S46">
    <cfRule type="cellIs" dxfId="4314" priority="5722" operator="greaterThan">
      <formula>70</formula>
    </cfRule>
  </conditionalFormatting>
  <conditionalFormatting sqref="T46">
    <cfRule type="cellIs" dxfId="4313" priority="5723" operator="lessThan">
      <formula>0</formula>
    </cfRule>
  </conditionalFormatting>
  <conditionalFormatting sqref="T46">
    <cfRule type="cellIs" dxfId="4312" priority="5724" operator="greaterThan">
      <formula>30</formula>
    </cfRule>
  </conditionalFormatting>
  <conditionalFormatting sqref="C47">
    <cfRule type="cellIs" dxfId="4311" priority="5725" operator="lessThan">
      <formula>0</formula>
    </cfRule>
  </conditionalFormatting>
  <conditionalFormatting sqref="C47">
    <cfRule type="cellIs" dxfId="4310" priority="5726" operator="greaterThan">
      <formula>100</formula>
    </cfRule>
  </conditionalFormatting>
  <conditionalFormatting sqref="F47">
    <cfRule type="cellIs" dxfId="4309" priority="5727" operator="lessThan">
      <formula>0</formula>
    </cfRule>
  </conditionalFormatting>
  <conditionalFormatting sqref="F47">
    <cfRule type="cellIs" dxfId="4308" priority="5728" operator="greaterThan">
      <formula>70</formula>
    </cfRule>
  </conditionalFormatting>
  <conditionalFormatting sqref="G47">
    <cfRule type="cellIs" dxfId="4307" priority="5729" operator="lessThan">
      <formula>0</formula>
    </cfRule>
  </conditionalFormatting>
  <conditionalFormatting sqref="G47">
    <cfRule type="cellIs" dxfId="4306" priority="5730" operator="greaterThan">
      <formula>70</formula>
    </cfRule>
  </conditionalFormatting>
  <conditionalFormatting sqref="H47">
    <cfRule type="cellIs" dxfId="4305" priority="5731" operator="lessThan">
      <formula>0</formula>
    </cfRule>
  </conditionalFormatting>
  <conditionalFormatting sqref="H47">
    <cfRule type="cellIs" dxfId="4304" priority="5732" operator="greaterThan">
      <formula>70</formula>
    </cfRule>
  </conditionalFormatting>
  <conditionalFormatting sqref="I47">
    <cfRule type="cellIs" dxfId="4303" priority="5733" operator="lessThan">
      <formula>0</formula>
    </cfRule>
  </conditionalFormatting>
  <conditionalFormatting sqref="I47">
    <cfRule type="cellIs" dxfId="4302" priority="5734" operator="greaterThan">
      <formula>70</formula>
    </cfRule>
  </conditionalFormatting>
  <conditionalFormatting sqref="J47">
    <cfRule type="cellIs" dxfId="4301" priority="5735" operator="lessThan">
      <formula>0</formula>
    </cfRule>
  </conditionalFormatting>
  <conditionalFormatting sqref="J47">
    <cfRule type="cellIs" dxfId="4300" priority="5736" operator="greaterThan">
      <formula>70</formula>
    </cfRule>
  </conditionalFormatting>
  <conditionalFormatting sqref="K47">
    <cfRule type="cellIs" dxfId="4299" priority="5737" operator="lessThan">
      <formula>0</formula>
    </cfRule>
  </conditionalFormatting>
  <conditionalFormatting sqref="K47">
    <cfRule type="cellIs" dxfId="4298" priority="5738" operator="greaterThan">
      <formula>70</formula>
    </cfRule>
  </conditionalFormatting>
  <conditionalFormatting sqref="L47">
    <cfRule type="cellIs" dxfId="4297" priority="5739" operator="lessThan">
      <formula>0</formula>
    </cfRule>
  </conditionalFormatting>
  <conditionalFormatting sqref="L47">
    <cfRule type="cellIs" dxfId="4296" priority="5740" operator="greaterThan">
      <formula>70</formula>
    </cfRule>
  </conditionalFormatting>
  <conditionalFormatting sqref="S47">
    <cfRule type="cellIs" dxfId="4295" priority="5741" operator="lessThan">
      <formula>0</formula>
    </cfRule>
  </conditionalFormatting>
  <conditionalFormatting sqref="S47">
    <cfRule type="cellIs" dxfId="4294" priority="5742" operator="greaterThan">
      <formula>70</formula>
    </cfRule>
  </conditionalFormatting>
  <conditionalFormatting sqref="T47">
    <cfRule type="cellIs" dxfId="4293" priority="5743" operator="lessThan">
      <formula>0</formula>
    </cfRule>
  </conditionalFormatting>
  <conditionalFormatting sqref="T47">
    <cfRule type="cellIs" dxfId="4292" priority="5744" operator="greaterThan">
      <formula>30</formula>
    </cfRule>
  </conditionalFormatting>
  <conditionalFormatting sqref="C48">
    <cfRule type="cellIs" dxfId="4291" priority="5745" operator="lessThan">
      <formula>0</formula>
    </cfRule>
  </conditionalFormatting>
  <conditionalFormatting sqref="C48">
    <cfRule type="cellIs" dxfId="4290" priority="5746" operator="greaterThan">
      <formula>100</formula>
    </cfRule>
  </conditionalFormatting>
  <conditionalFormatting sqref="F48">
    <cfRule type="cellIs" dxfId="4289" priority="5747" operator="lessThan">
      <formula>0</formula>
    </cfRule>
  </conditionalFormatting>
  <conditionalFormatting sqref="F48">
    <cfRule type="cellIs" dxfId="4288" priority="5748" operator="greaterThan">
      <formula>70</formula>
    </cfRule>
  </conditionalFormatting>
  <conditionalFormatting sqref="G48">
    <cfRule type="cellIs" dxfId="4287" priority="5749" operator="lessThan">
      <formula>0</formula>
    </cfRule>
  </conditionalFormatting>
  <conditionalFormatting sqref="G48">
    <cfRule type="cellIs" dxfId="4286" priority="5750" operator="greaterThan">
      <formula>70</formula>
    </cfRule>
  </conditionalFormatting>
  <conditionalFormatting sqref="H48">
    <cfRule type="cellIs" dxfId="4285" priority="5751" operator="lessThan">
      <formula>0</formula>
    </cfRule>
  </conditionalFormatting>
  <conditionalFormatting sqref="H48">
    <cfRule type="cellIs" dxfId="4284" priority="5752" operator="greaterThan">
      <formula>70</formula>
    </cfRule>
  </conditionalFormatting>
  <conditionalFormatting sqref="I48">
    <cfRule type="cellIs" dxfId="4283" priority="5753" operator="lessThan">
      <formula>0</formula>
    </cfRule>
  </conditionalFormatting>
  <conditionalFormatting sqref="I48">
    <cfRule type="cellIs" dxfId="4282" priority="5754" operator="greaterThan">
      <formula>70</formula>
    </cfRule>
  </conditionalFormatting>
  <conditionalFormatting sqref="J48">
    <cfRule type="cellIs" dxfId="4281" priority="5755" operator="lessThan">
      <formula>0</formula>
    </cfRule>
  </conditionalFormatting>
  <conditionalFormatting sqref="J48">
    <cfRule type="cellIs" dxfId="4280" priority="5756" operator="greaterThan">
      <formula>70</formula>
    </cfRule>
  </conditionalFormatting>
  <conditionalFormatting sqref="K48">
    <cfRule type="cellIs" dxfId="4279" priority="5757" operator="lessThan">
      <formula>0</formula>
    </cfRule>
  </conditionalFormatting>
  <conditionalFormatting sqref="K48">
    <cfRule type="cellIs" dxfId="4278" priority="5758" operator="greaterThan">
      <formula>70</formula>
    </cfRule>
  </conditionalFormatting>
  <conditionalFormatting sqref="L48">
    <cfRule type="cellIs" dxfId="4277" priority="5759" operator="lessThan">
      <formula>0</formula>
    </cfRule>
  </conditionalFormatting>
  <conditionalFormatting sqref="L48">
    <cfRule type="cellIs" dxfId="4276" priority="5760" operator="greaterThan">
      <formula>70</formula>
    </cfRule>
  </conditionalFormatting>
  <conditionalFormatting sqref="S48">
    <cfRule type="cellIs" dxfId="4275" priority="5761" operator="lessThan">
      <formula>0</formula>
    </cfRule>
  </conditionalFormatting>
  <conditionalFormatting sqref="S48">
    <cfRule type="cellIs" dxfId="4274" priority="5762" operator="greaterThan">
      <formula>70</formula>
    </cfRule>
  </conditionalFormatting>
  <conditionalFormatting sqref="T48">
    <cfRule type="cellIs" dxfId="4273" priority="5763" operator="lessThan">
      <formula>0</formula>
    </cfRule>
  </conditionalFormatting>
  <conditionalFormatting sqref="T48">
    <cfRule type="cellIs" dxfId="4272" priority="5764" operator="greaterThan">
      <formula>30</formula>
    </cfRule>
  </conditionalFormatting>
  <conditionalFormatting sqref="C49">
    <cfRule type="cellIs" dxfId="4271" priority="5765" operator="lessThan">
      <formula>0</formula>
    </cfRule>
  </conditionalFormatting>
  <conditionalFormatting sqref="C49">
    <cfRule type="cellIs" dxfId="4270" priority="5766" operator="greaterThan">
      <formula>100</formula>
    </cfRule>
  </conditionalFormatting>
  <conditionalFormatting sqref="F49">
    <cfRule type="cellIs" dxfId="4269" priority="5767" operator="lessThan">
      <formula>0</formula>
    </cfRule>
  </conditionalFormatting>
  <conditionalFormatting sqref="F49">
    <cfRule type="cellIs" dxfId="4268" priority="5768" operator="greaterThan">
      <formula>70</formula>
    </cfRule>
  </conditionalFormatting>
  <conditionalFormatting sqref="G49">
    <cfRule type="cellIs" dxfId="4267" priority="5769" operator="lessThan">
      <formula>0</formula>
    </cfRule>
  </conditionalFormatting>
  <conditionalFormatting sqref="G49">
    <cfRule type="cellIs" dxfId="4266" priority="5770" operator="greaterThan">
      <formula>70</formula>
    </cfRule>
  </conditionalFormatting>
  <conditionalFormatting sqref="H49">
    <cfRule type="cellIs" dxfId="4265" priority="5771" operator="lessThan">
      <formula>0</formula>
    </cfRule>
  </conditionalFormatting>
  <conditionalFormatting sqref="H49">
    <cfRule type="cellIs" dxfId="4264" priority="5772" operator="greaterThan">
      <formula>70</formula>
    </cfRule>
  </conditionalFormatting>
  <conditionalFormatting sqref="I49">
    <cfRule type="cellIs" dxfId="4263" priority="5773" operator="lessThan">
      <formula>0</formula>
    </cfRule>
  </conditionalFormatting>
  <conditionalFormatting sqref="I49">
    <cfRule type="cellIs" dxfId="4262" priority="5774" operator="greaterThan">
      <formula>70</formula>
    </cfRule>
  </conditionalFormatting>
  <conditionalFormatting sqref="J49">
    <cfRule type="cellIs" dxfId="4261" priority="5775" operator="lessThan">
      <formula>0</formula>
    </cfRule>
  </conditionalFormatting>
  <conditionalFormatting sqref="J49">
    <cfRule type="cellIs" dxfId="4260" priority="5776" operator="greaterThan">
      <formula>70</formula>
    </cfRule>
  </conditionalFormatting>
  <conditionalFormatting sqref="K49">
    <cfRule type="cellIs" dxfId="4259" priority="5777" operator="lessThan">
      <formula>0</formula>
    </cfRule>
  </conditionalFormatting>
  <conditionalFormatting sqref="K49">
    <cfRule type="cellIs" dxfId="4258" priority="5778" operator="greaterThan">
      <formula>70</formula>
    </cfRule>
  </conditionalFormatting>
  <conditionalFormatting sqref="L49">
    <cfRule type="cellIs" dxfId="4257" priority="5779" operator="lessThan">
      <formula>0</formula>
    </cfRule>
  </conditionalFormatting>
  <conditionalFormatting sqref="L49">
    <cfRule type="cellIs" dxfId="4256" priority="5780" operator="greaterThan">
      <formula>70</formula>
    </cfRule>
  </conditionalFormatting>
  <conditionalFormatting sqref="S49">
    <cfRule type="cellIs" dxfId="4255" priority="5781" operator="lessThan">
      <formula>0</formula>
    </cfRule>
  </conditionalFormatting>
  <conditionalFormatting sqref="S49">
    <cfRule type="cellIs" dxfId="4254" priority="5782" operator="greaterThan">
      <formula>70</formula>
    </cfRule>
  </conditionalFormatting>
  <conditionalFormatting sqref="T49">
    <cfRule type="cellIs" dxfId="4253" priority="5783" operator="lessThan">
      <formula>0</formula>
    </cfRule>
  </conditionalFormatting>
  <conditionalFormatting sqref="T49">
    <cfRule type="cellIs" dxfId="4252" priority="5784" operator="greaterThan">
      <formula>30</formula>
    </cfRule>
  </conditionalFormatting>
  <conditionalFormatting sqref="C50">
    <cfRule type="cellIs" dxfId="4251" priority="5785" operator="lessThan">
      <formula>0</formula>
    </cfRule>
  </conditionalFormatting>
  <conditionalFormatting sqref="C50">
    <cfRule type="cellIs" dxfId="4250" priority="5786" operator="greaterThan">
      <formula>100</formula>
    </cfRule>
  </conditionalFormatting>
  <conditionalFormatting sqref="F50">
    <cfRule type="cellIs" dxfId="4249" priority="5787" operator="lessThan">
      <formula>0</formula>
    </cfRule>
  </conditionalFormatting>
  <conditionalFormatting sqref="F50">
    <cfRule type="cellIs" dxfId="4248" priority="5788" operator="greaterThan">
      <formula>70</formula>
    </cfRule>
  </conditionalFormatting>
  <conditionalFormatting sqref="G50">
    <cfRule type="cellIs" dxfId="4247" priority="5789" operator="lessThan">
      <formula>0</formula>
    </cfRule>
  </conditionalFormatting>
  <conditionalFormatting sqref="G50">
    <cfRule type="cellIs" dxfId="4246" priority="5790" operator="greaterThan">
      <formula>70</formula>
    </cfRule>
  </conditionalFormatting>
  <conditionalFormatting sqref="H50">
    <cfRule type="cellIs" dxfId="4245" priority="5791" operator="lessThan">
      <formula>0</formula>
    </cfRule>
  </conditionalFormatting>
  <conditionalFormatting sqref="H50">
    <cfRule type="cellIs" dxfId="4244" priority="5792" operator="greaterThan">
      <formula>70</formula>
    </cfRule>
  </conditionalFormatting>
  <conditionalFormatting sqref="I50">
    <cfRule type="cellIs" dxfId="4243" priority="5793" operator="lessThan">
      <formula>0</formula>
    </cfRule>
  </conditionalFormatting>
  <conditionalFormatting sqref="I50">
    <cfRule type="cellIs" dxfId="4242" priority="5794" operator="greaterThan">
      <formula>70</formula>
    </cfRule>
  </conditionalFormatting>
  <conditionalFormatting sqref="J50">
    <cfRule type="cellIs" dxfId="4241" priority="5795" operator="lessThan">
      <formula>0</formula>
    </cfRule>
  </conditionalFormatting>
  <conditionalFormatting sqref="J50">
    <cfRule type="cellIs" dxfId="4240" priority="5796" operator="greaterThan">
      <formula>70</formula>
    </cfRule>
  </conditionalFormatting>
  <conditionalFormatting sqref="K50">
    <cfRule type="cellIs" dxfId="4239" priority="5797" operator="lessThan">
      <formula>0</formula>
    </cfRule>
  </conditionalFormatting>
  <conditionalFormatting sqref="K50">
    <cfRule type="cellIs" dxfId="4238" priority="5798" operator="greaterThan">
      <formula>70</formula>
    </cfRule>
  </conditionalFormatting>
  <conditionalFormatting sqref="L50">
    <cfRule type="cellIs" dxfId="4237" priority="5799" operator="lessThan">
      <formula>0</formula>
    </cfRule>
  </conditionalFormatting>
  <conditionalFormatting sqref="L50">
    <cfRule type="cellIs" dxfId="4236" priority="5800" operator="greaterThan">
      <formula>70</formula>
    </cfRule>
  </conditionalFormatting>
  <conditionalFormatting sqref="S50">
    <cfRule type="cellIs" dxfId="4235" priority="5801" operator="lessThan">
      <formula>0</formula>
    </cfRule>
  </conditionalFormatting>
  <conditionalFormatting sqref="S50">
    <cfRule type="cellIs" dxfId="4234" priority="5802" operator="greaterThan">
      <formula>70</formula>
    </cfRule>
  </conditionalFormatting>
  <conditionalFormatting sqref="T50">
    <cfRule type="cellIs" dxfId="4233" priority="5803" operator="lessThan">
      <formula>0</formula>
    </cfRule>
  </conditionalFormatting>
  <conditionalFormatting sqref="T50">
    <cfRule type="cellIs" dxfId="4232" priority="5804" operator="greaterThan">
      <formula>30</formula>
    </cfRule>
  </conditionalFormatting>
  <conditionalFormatting sqref="C51">
    <cfRule type="cellIs" dxfId="4231" priority="5805" operator="lessThan">
      <formula>0</formula>
    </cfRule>
  </conditionalFormatting>
  <conditionalFormatting sqref="C51">
    <cfRule type="cellIs" dxfId="4230" priority="5806" operator="greaterThan">
      <formula>100</formula>
    </cfRule>
  </conditionalFormatting>
  <conditionalFormatting sqref="F51">
    <cfRule type="cellIs" dxfId="4229" priority="5807" operator="lessThan">
      <formula>0</formula>
    </cfRule>
  </conditionalFormatting>
  <conditionalFormatting sqref="F51">
    <cfRule type="cellIs" dxfId="4228" priority="5808" operator="greaterThan">
      <formula>70</formula>
    </cfRule>
  </conditionalFormatting>
  <conditionalFormatting sqref="G51">
    <cfRule type="cellIs" dxfId="4227" priority="5809" operator="lessThan">
      <formula>0</formula>
    </cfRule>
  </conditionalFormatting>
  <conditionalFormatting sqref="G51">
    <cfRule type="cellIs" dxfId="4226" priority="5810" operator="greaterThan">
      <formula>70</formula>
    </cfRule>
  </conditionalFormatting>
  <conditionalFormatting sqref="H51">
    <cfRule type="cellIs" dxfId="4225" priority="5811" operator="lessThan">
      <formula>0</formula>
    </cfRule>
  </conditionalFormatting>
  <conditionalFormatting sqref="H51">
    <cfRule type="cellIs" dxfId="4224" priority="5812" operator="greaterThan">
      <formula>70</formula>
    </cfRule>
  </conditionalFormatting>
  <conditionalFormatting sqref="I51">
    <cfRule type="cellIs" dxfId="4223" priority="5813" operator="lessThan">
      <formula>0</formula>
    </cfRule>
  </conditionalFormatting>
  <conditionalFormatting sqref="I51">
    <cfRule type="cellIs" dxfId="4222" priority="5814" operator="greaterThan">
      <formula>70</formula>
    </cfRule>
  </conditionalFormatting>
  <conditionalFormatting sqref="J51">
    <cfRule type="cellIs" dxfId="4221" priority="5815" operator="lessThan">
      <formula>0</formula>
    </cfRule>
  </conditionalFormatting>
  <conditionalFormatting sqref="J51">
    <cfRule type="cellIs" dxfId="4220" priority="5816" operator="greaterThan">
      <formula>70</formula>
    </cfRule>
  </conditionalFormatting>
  <conditionalFormatting sqref="K51">
    <cfRule type="cellIs" dxfId="4219" priority="5817" operator="lessThan">
      <formula>0</formula>
    </cfRule>
  </conditionalFormatting>
  <conditionalFormatting sqref="K51">
    <cfRule type="cellIs" dxfId="4218" priority="5818" operator="greaterThan">
      <formula>70</formula>
    </cfRule>
  </conditionalFormatting>
  <conditionalFormatting sqref="L51">
    <cfRule type="cellIs" dxfId="4217" priority="5819" operator="lessThan">
      <formula>0</formula>
    </cfRule>
  </conditionalFormatting>
  <conditionalFormatting sqref="L51">
    <cfRule type="cellIs" dxfId="4216" priority="5820" operator="greaterThan">
      <formula>70</formula>
    </cfRule>
  </conditionalFormatting>
  <conditionalFormatting sqref="S51">
    <cfRule type="cellIs" dxfId="4215" priority="5821" operator="lessThan">
      <formula>0</formula>
    </cfRule>
  </conditionalFormatting>
  <conditionalFormatting sqref="S51">
    <cfRule type="cellIs" dxfId="4214" priority="5822" operator="greaterThan">
      <formula>70</formula>
    </cfRule>
  </conditionalFormatting>
  <conditionalFormatting sqref="T51">
    <cfRule type="cellIs" dxfId="4213" priority="5823" operator="lessThan">
      <formula>0</formula>
    </cfRule>
  </conditionalFormatting>
  <conditionalFormatting sqref="T51">
    <cfRule type="cellIs" dxfId="4212" priority="5824" operator="greaterThan">
      <formula>30</formula>
    </cfRule>
  </conditionalFormatting>
  <conditionalFormatting sqref="C52">
    <cfRule type="cellIs" dxfId="4211" priority="5825" operator="lessThan">
      <formula>0</formula>
    </cfRule>
  </conditionalFormatting>
  <conditionalFormatting sqref="C52">
    <cfRule type="cellIs" dxfId="4210" priority="5826" operator="greaterThan">
      <formula>100</formula>
    </cfRule>
  </conditionalFormatting>
  <conditionalFormatting sqref="F52">
    <cfRule type="cellIs" dxfId="4209" priority="5827" operator="lessThan">
      <formula>0</formula>
    </cfRule>
  </conditionalFormatting>
  <conditionalFormatting sqref="F52">
    <cfRule type="cellIs" dxfId="4208" priority="5828" operator="greaterThan">
      <formula>70</formula>
    </cfRule>
  </conditionalFormatting>
  <conditionalFormatting sqref="G52">
    <cfRule type="cellIs" dxfId="4207" priority="5829" operator="lessThan">
      <formula>0</formula>
    </cfRule>
  </conditionalFormatting>
  <conditionalFormatting sqref="G52">
    <cfRule type="cellIs" dxfId="4206" priority="5830" operator="greaterThan">
      <formula>70</formula>
    </cfRule>
  </conditionalFormatting>
  <conditionalFormatting sqref="H52">
    <cfRule type="cellIs" dxfId="4205" priority="5831" operator="lessThan">
      <formula>0</formula>
    </cfRule>
  </conditionalFormatting>
  <conditionalFormatting sqref="H52">
    <cfRule type="cellIs" dxfId="4204" priority="5832" operator="greaterThan">
      <formula>70</formula>
    </cfRule>
  </conditionalFormatting>
  <conditionalFormatting sqref="I52">
    <cfRule type="cellIs" dxfId="4203" priority="5833" operator="lessThan">
      <formula>0</formula>
    </cfRule>
  </conditionalFormatting>
  <conditionalFormatting sqref="I52">
    <cfRule type="cellIs" dxfId="4202" priority="5834" operator="greaterThan">
      <formula>70</formula>
    </cfRule>
  </conditionalFormatting>
  <conditionalFormatting sqref="J52">
    <cfRule type="cellIs" dxfId="4201" priority="5835" operator="lessThan">
      <formula>0</formula>
    </cfRule>
  </conditionalFormatting>
  <conditionalFormatting sqref="J52">
    <cfRule type="cellIs" dxfId="4200" priority="5836" operator="greaterThan">
      <formula>70</formula>
    </cfRule>
  </conditionalFormatting>
  <conditionalFormatting sqref="K52">
    <cfRule type="cellIs" dxfId="4199" priority="5837" operator="lessThan">
      <formula>0</formula>
    </cfRule>
  </conditionalFormatting>
  <conditionalFormatting sqref="K52">
    <cfRule type="cellIs" dxfId="4198" priority="5838" operator="greaterThan">
      <formula>70</formula>
    </cfRule>
  </conditionalFormatting>
  <conditionalFormatting sqref="L52">
    <cfRule type="cellIs" dxfId="4197" priority="5839" operator="lessThan">
      <formula>0</formula>
    </cfRule>
  </conditionalFormatting>
  <conditionalFormatting sqref="L52">
    <cfRule type="cellIs" dxfId="4196" priority="5840" operator="greaterThan">
      <formula>70</formula>
    </cfRule>
  </conditionalFormatting>
  <conditionalFormatting sqref="S52">
    <cfRule type="cellIs" dxfId="4195" priority="5841" operator="lessThan">
      <formula>0</formula>
    </cfRule>
  </conditionalFormatting>
  <conditionalFormatting sqref="S52">
    <cfRule type="cellIs" dxfId="4194" priority="5842" operator="greaterThan">
      <formula>70</formula>
    </cfRule>
  </conditionalFormatting>
  <conditionalFormatting sqref="T52">
    <cfRule type="cellIs" dxfId="4193" priority="5843" operator="lessThan">
      <formula>0</formula>
    </cfRule>
  </conditionalFormatting>
  <conditionalFormatting sqref="T52">
    <cfRule type="cellIs" dxfId="4192" priority="5844" operator="greaterThan">
      <formula>30</formula>
    </cfRule>
  </conditionalFormatting>
  <conditionalFormatting sqref="C53">
    <cfRule type="cellIs" dxfId="4191" priority="5845" operator="lessThan">
      <formula>0</formula>
    </cfRule>
  </conditionalFormatting>
  <conditionalFormatting sqref="C53">
    <cfRule type="cellIs" dxfId="4190" priority="5846" operator="greaterThan">
      <formula>100</formula>
    </cfRule>
  </conditionalFormatting>
  <conditionalFormatting sqref="F53">
    <cfRule type="cellIs" dxfId="4189" priority="5847" operator="lessThan">
      <formula>0</formula>
    </cfRule>
  </conditionalFormatting>
  <conditionalFormatting sqref="F53">
    <cfRule type="cellIs" dxfId="4188" priority="5848" operator="greaterThan">
      <formula>70</formula>
    </cfRule>
  </conditionalFormatting>
  <conditionalFormatting sqref="G53">
    <cfRule type="cellIs" dxfId="4187" priority="5849" operator="lessThan">
      <formula>0</formula>
    </cfRule>
  </conditionalFormatting>
  <conditionalFormatting sqref="G53">
    <cfRule type="cellIs" dxfId="4186" priority="5850" operator="greaterThan">
      <formula>70</formula>
    </cfRule>
  </conditionalFormatting>
  <conditionalFormatting sqref="H53">
    <cfRule type="cellIs" dxfId="4185" priority="5851" operator="lessThan">
      <formula>0</formula>
    </cfRule>
  </conditionalFormatting>
  <conditionalFormatting sqref="H53">
    <cfRule type="cellIs" dxfId="4184" priority="5852" operator="greaterThan">
      <formula>70</formula>
    </cfRule>
  </conditionalFormatting>
  <conditionalFormatting sqref="I53">
    <cfRule type="cellIs" dxfId="4183" priority="5853" operator="lessThan">
      <formula>0</formula>
    </cfRule>
  </conditionalFormatting>
  <conditionalFormatting sqref="I53">
    <cfRule type="cellIs" dxfId="4182" priority="5854" operator="greaterThan">
      <formula>70</formula>
    </cfRule>
  </conditionalFormatting>
  <conditionalFormatting sqref="J53">
    <cfRule type="cellIs" dxfId="4181" priority="5855" operator="lessThan">
      <formula>0</formula>
    </cfRule>
  </conditionalFormatting>
  <conditionalFormatting sqref="J53">
    <cfRule type="cellIs" dxfId="4180" priority="5856" operator="greaterThan">
      <formula>70</formula>
    </cfRule>
  </conditionalFormatting>
  <conditionalFormatting sqref="K53">
    <cfRule type="cellIs" dxfId="4179" priority="5857" operator="lessThan">
      <formula>0</formula>
    </cfRule>
  </conditionalFormatting>
  <conditionalFormatting sqref="K53">
    <cfRule type="cellIs" dxfId="4178" priority="5858" operator="greaterThan">
      <formula>70</formula>
    </cfRule>
  </conditionalFormatting>
  <conditionalFormatting sqref="L53">
    <cfRule type="cellIs" dxfId="4177" priority="5859" operator="lessThan">
      <formula>0</formula>
    </cfRule>
  </conditionalFormatting>
  <conditionalFormatting sqref="L53">
    <cfRule type="cellIs" dxfId="4176" priority="5860" operator="greaterThan">
      <formula>70</formula>
    </cfRule>
  </conditionalFormatting>
  <conditionalFormatting sqref="S53">
    <cfRule type="cellIs" dxfId="4175" priority="5861" operator="lessThan">
      <formula>0</formula>
    </cfRule>
  </conditionalFormatting>
  <conditionalFormatting sqref="S53">
    <cfRule type="cellIs" dxfId="4174" priority="5862" operator="greaterThan">
      <formula>70</formula>
    </cfRule>
  </conditionalFormatting>
  <conditionalFormatting sqref="T53">
    <cfRule type="cellIs" dxfId="4173" priority="5863" operator="lessThan">
      <formula>0</formula>
    </cfRule>
  </conditionalFormatting>
  <conditionalFormatting sqref="T53">
    <cfRule type="cellIs" dxfId="4172" priority="5864" operator="greaterThan">
      <formula>30</formula>
    </cfRule>
  </conditionalFormatting>
  <conditionalFormatting sqref="C54">
    <cfRule type="cellIs" dxfId="4171" priority="5865" operator="lessThan">
      <formula>0</formula>
    </cfRule>
  </conditionalFormatting>
  <conditionalFormatting sqref="C54">
    <cfRule type="cellIs" dxfId="4170" priority="5866" operator="greaterThan">
      <formula>100</formula>
    </cfRule>
  </conditionalFormatting>
  <conditionalFormatting sqref="F54">
    <cfRule type="cellIs" dxfId="4169" priority="5867" operator="lessThan">
      <formula>0</formula>
    </cfRule>
  </conditionalFormatting>
  <conditionalFormatting sqref="F54">
    <cfRule type="cellIs" dxfId="4168" priority="5868" operator="greaterThan">
      <formula>70</formula>
    </cfRule>
  </conditionalFormatting>
  <conditionalFormatting sqref="G54">
    <cfRule type="cellIs" dxfId="4167" priority="5869" operator="lessThan">
      <formula>0</formula>
    </cfRule>
  </conditionalFormatting>
  <conditionalFormatting sqref="G54">
    <cfRule type="cellIs" dxfId="4166" priority="5870" operator="greaterThan">
      <formula>70</formula>
    </cfRule>
  </conditionalFormatting>
  <conditionalFormatting sqref="H54">
    <cfRule type="cellIs" dxfId="4165" priority="5871" operator="lessThan">
      <formula>0</formula>
    </cfRule>
  </conditionalFormatting>
  <conditionalFormatting sqref="H54">
    <cfRule type="cellIs" dxfId="4164" priority="5872" operator="greaterThan">
      <formula>70</formula>
    </cfRule>
  </conditionalFormatting>
  <conditionalFormatting sqref="I54">
    <cfRule type="cellIs" dxfId="4163" priority="5873" operator="lessThan">
      <formula>0</formula>
    </cfRule>
  </conditionalFormatting>
  <conditionalFormatting sqref="I54">
    <cfRule type="cellIs" dxfId="4162" priority="5874" operator="greaterThan">
      <formula>70</formula>
    </cfRule>
  </conditionalFormatting>
  <conditionalFormatting sqref="J54">
    <cfRule type="cellIs" dxfId="4161" priority="5875" operator="lessThan">
      <formula>0</formula>
    </cfRule>
  </conditionalFormatting>
  <conditionalFormatting sqref="J54">
    <cfRule type="cellIs" dxfId="4160" priority="5876" operator="greaterThan">
      <formula>70</formula>
    </cfRule>
  </conditionalFormatting>
  <conditionalFormatting sqref="K54">
    <cfRule type="cellIs" dxfId="4159" priority="5877" operator="lessThan">
      <formula>0</formula>
    </cfRule>
  </conditionalFormatting>
  <conditionalFormatting sqref="K54">
    <cfRule type="cellIs" dxfId="4158" priority="5878" operator="greaterThan">
      <formula>70</formula>
    </cfRule>
  </conditionalFormatting>
  <conditionalFormatting sqref="L54">
    <cfRule type="cellIs" dxfId="4157" priority="5879" operator="lessThan">
      <formula>0</formula>
    </cfRule>
  </conditionalFormatting>
  <conditionalFormatting sqref="L54">
    <cfRule type="cellIs" dxfId="4156" priority="5880" operator="greaterThan">
      <formula>70</formula>
    </cfRule>
  </conditionalFormatting>
  <conditionalFormatting sqref="S54">
    <cfRule type="cellIs" dxfId="4155" priority="5881" operator="lessThan">
      <formula>0</formula>
    </cfRule>
  </conditionalFormatting>
  <conditionalFormatting sqref="S54">
    <cfRule type="cellIs" dxfId="4154" priority="5882" operator="greaterThan">
      <formula>70</formula>
    </cfRule>
  </conditionalFormatting>
  <conditionalFormatting sqref="T54">
    <cfRule type="cellIs" dxfId="4153" priority="5883" operator="lessThan">
      <formula>0</formula>
    </cfRule>
  </conditionalFormatting>
  <conditionalFormatting sqref="T54">
    <cfRule type="cellIs" dxfId="4152" priority="5884" operator="greaterThan">
      <formula>30</formula>
    </cfRule>
  </conditionalFormatting>
  <conditionalFormatting sqref="C55">
    <cfRule type="cellIs" dxfId="4151" priority="5885" operator="lessThan">
      <formula>0</formula>
    </cfRule>
  </conditionalFormatting>
  <conditionalFormatting sqref="C55">
    <cfRule type="cellIs" dxfId="4150" priority="5886" operator="greaterThan">
      <formula>100</formula>
    </cfRule>
  </conditionalFormatting>
  <conditionalFormatting sqref="F55">
    <cfRule type="cellIs" dxfId="4149" priority="5887" operator="lessThan">
      <formula>0</formula>
    </cfRule>
  </conditionalFormatting>
  <conditionalFormatting sqref="F55">
    <cfRule type="cellIs" dxfId="4148" priority="5888" operator="greaterThan">
      <formula>70</formula>
    </cfRule>
  </conditionalFormatting>
  <conditionalFormatting sqref="G55">
    <cfRule type="cellIs" dxfId="4147" priority="5889" operator="lessThan">
      <formula>0</formula>
    </cfRule>
  </conditionalFormatting>
  <conditionalFormatting sqref="G55">
    <cfRule type="cellIs" dxfId="4146" priority="5890" operator="greaterThan">
      <formula>70</formula>
    </cfRule>
  </conditionalFormatting>
  <conditionalFormatting sqref="H55">
    <cfRule type="cellIs" dxfId="4145" priority="5891" operator="lessThan">
      <formula>0</formula>
    </cfRule>
  </conditionalFormatting>
  <conditionalFormatting sqref="H55">
    <cfRule type="cellIs" dxfId="4144" priority="5892" operator="greaterThan">
      <formula>70</formula>
    </cfRule>
  </conditionalFormatting>
  <conditionalFormatting sqref="I55">
    <cfRule type="cellIs" dxfId="4143" priority="5893" operator="lessThan">
      <formula>0</formula>
    </cfRule>
  </conditionalFormatting>
  <conditionalFormatting sqref="I55">
    <cfRule type="cellIs" dxfId="4142" priority="5894" operator="greaterThan">
      <formula>70</formula>
    </cfRule>
  </conditionalFormatting>
  <conditionalFormatting sqref="J55">
    <cfRule type="cellIs" dxfId="4141" priority="5895" operator="lessThan">
      <formula>0</formula>
    </cfRule>
  </conditionalFormatting>
  <conditionalFormatting sqref="J55">
    <cfRule type="cellIs" dxfId="4140" priority="5896" operator="greaterThan">
      <formula>70</formula>
    </cfRule>
  </conditionalFormatting>
  <conditionalFormatting sqref="K55">
    <cfRule type="cellIs" dxfId="4139" priority="5897" operator="lessThan">
      <formula>0</formula>
    </cfRule>
  </conditionalFormatting>
  <conditionalFormatting sqref="K55">
    <cfRule type="cellIs" dxfId="4138" priority="5898" operator="greaterThan">
      <formula>70</formula>
    </cfRule>
  </conditionalFormatting>
  <conditionalFormatting sqref="L55">
    <cfRule type="cellIs" dxfId="4137" priority="5899" operator="lessThan">
      <formula>0</formula>
    </cfRule>
  </conditionalFormatting>
  <conditionalFormatting sqref="L55">
    <cfRule type="cellIs" dxfId="4136" priority="5900" operator="greaterThan">
      <formula>70</formula>
    </cfRule>
  </conditionalFormatting>
  <conditionalFormatting sqref="S55">
    <cfRule type="cellIs" dxfId="4135" priority="5901" operator="lessThan">
      <formula>0</formula>
    </cfRule>
  </conditionalFormatting>
  <conditionalFormatting sqref="S55">
    <cfRule type="cellIs" dxfId="4134" priority="5902" operator="greaterThan">
      <formula>70</formula>
    </cfRule>
  </conditionalFormatting>
  <conditionalFormatting sqref="T55">
    <cfRule type="cellIs" dxfId="4133" priority="5903" operator="lessThan">
      <formula>0</formula>
    </cfRule>
  </conditionalFormatting>
  <conditionalFormatting sqref="T55">
    <cfRule type="cellIs" dxfId="4132" priority="5904" operator="greaterThan">
      <formula>30</formula>
    </cfRule>
  </conditionalFormatting>
  <conditionalFormatting sqref="C56">
    <cfRule type="cellIs" dxfId="4131" priority="5905" operator="lessThan">
      <formula>0</formula>
    </cfRule>
  </conditionalFormatting>
  <conditionalFormatting sqref="C56">
    <cfRule type="cellIs" dxfId="4130" priority="5906" operator="greaterThan">
      <formula>100</formula>
    </cfRule>
  </conditionalFormatting>
  <conditionalFormatting sqref="F56">
    <cfRule type="cellIs" dxfId="4129" priority="5907" operator="lessThan">
      <formula>0</formula>
    </cfRule>
  </conditionalFormatting>
  <conditionalFormatting sqref="F56">
    <cfRule type="cellIs" dxfId="4128" priority="5908" operator="greaterThan">
      <formula>70</formula>
    </cfRule>
  </conditionalFormatting>
  <conditionalFormatting sqref="G56">
    <cfRule type="cellIs" dxfId="4127" priority="5909" operator="lessThan">
      <formula>0</formula>
    </cfRule>
  </conditionalFormatting>
  <conditionalFormatting sqref="G56">
    <cfRule type="cellIs" dxfId="4126" priority="5910" operator="greaterThan">
      <formula>70</formula>
    </cfRule>
  </conditionalFormatting>
  <conditionalFormatting sqref="H56">
    <cfRule type="cellIs" dxfId="4125" priority="5911" operator="lessThan">
      <formula>0</formula>
    </cfRule>
  </conditionalFormatting>
  <conditionalFormatting sqref="H56">
    <cfRule type="cellIs" dxfId="4124" priority="5912" operator="greaterThan">
      <formula>70</formula>
    </cfRule>
  </conditionalFormatting>
  <conditionalFormatting sqref="I56">
    <cfRule type="cellIs" dxfId="4123" priority="5913" operator="lessThan">
      <formula>0</formula>
    </cfRule>
  </conditionalFormatting>
  <conditionalFormatting sqref="I56">
    <cfRule type="cellIs" dxfId="4122" priority="5914" operator="greaterThan">
      <formula>70</formula>
    </cfRule>
  </conditionalFormatting>
  <conditionalFormatting sqref="J56">
    <cfRule type="cellIs" dxfId="4121" priority="5915" operator="lessThan">
      <formula>0</formula>
    </cfRule>
  </conditionalFormatting>
  <conditionalFormatting sqref="J56">
    <cfRule type="cellIs" dxfId="4120" priority="5916" operator="greaterThan">
      <formula>70</formula>
    </cfRule>
  </conditionalFormatting>
  <conditionalFormatting sqref="K56">
    <cfRule type="cellIs" dxfId="4119" priority="5917" operator="lessThan">
      <formula>0</formula>
    </cfRule>
  </conditionalFormatting>
  <conditionalFormatting sqref="K56">
    <cfRule type="cellIs" dxfId="4118" priority="5918" operator="greaterThan">
      <formula>70</formula>
    </cfRule>
  </conditionalFormatting>
  <conditionalFormatting sqref="L56">
    <cfRule type="cellIs" dxfId="4117" priority="5919" operator="lessThan">
      <formula>0</formula>
    </cfRule>
  </conditionalFormatting>
  <conditionalFormatting sqref="L56">
    <cfRule type="cellIs" dxfId="4116" priority="5920" operator="greaterThan">
      <formula>70</formula>
    </cfRule>
  </conditionalFormatting>
  <conditionalFormatting sqref="S56">
    <cfRule type="cellIs" dxfId="4115" priority="5921" operator="lessThan">
      <formula>0</formula>
    </cfRule>
  </conditionalFormatting>
  <conditionalFormatting sqref="S56">
    <cfRule type="cellIs" dxfId="4114" priority="5922" operator="greaterThan">
      <formula>70</formula>
    </cfRule>
  </conditionalFormatting>
  <conditionalFormatting sqref="T56">
    <cfRule type="cellIs" dxfId="4113" priority="5923" operator="lessThan">
      <formula>0</formula>
    </cfRule>
  </conditionalFormatting>
  <conditionalFormatting sqref="T56">
    <cfRule type="cellIs" dxfId="4112" priority="5924" operator="greaterThan">
      <formula>30</formula>
    </cfRule>
  </conditionalFormatting>
  <conditionalFormatting sqref="C57">
    <cfRule type="cellIs" dxfId="4111" priority="5925" operator="lessThan">
      <formula>0</formula>
    </cfRule>
  </conditionalFormatting>
  <conditionalFormatting sqref="C57">
    <cfRule type="cellIs" dxfId="4110" priority="5926" operator="greaterThan">
      <formula>100</formula>
    </cfRule>
  </conditionalFormatting>
  <conditionalFormatting sqref="F57">
    <cfRule type="cellIs" dxfId="4109" priority="5927" operator="lessThan">
      <formula>0</formula>
    </cfRule>
  </conditionalFormatting>
  <conditionalFormatting sqref="F57">
    <cfRule type="cellIs" dxfId="4108" priority="5928" operator="greaterThan">
      <formula>70</formula>
    </cfRule>
  </conditionalFormatting>
  <conditionalFormatting sqref="G57">
    <cfRule type="cellIs" dxfId="4107" priority="5929" operator="lessThan">
      <formula>0</formula>
    </cfRule>
  </conditionalFormatting>
  <conditionalFormatting sqref="G57">
    <cfRule type="cellIs" dxfId="4106" priority="5930" operator="greaterThan">
      <formula>70</formula>
    </cfRule>
  </conditionalFormatting>
  <conditionalFormatting sqref="H57">
    <cfRule type="cellIs" dxfId="4105" priority="5931" operator="lessThan">
      <formula>0</formula>
    </cfRule>
  </conditionalFormatting>
  <conditionalFormatting sqref="H57">
    <cfRule type="cellIs" dxfId="4104" priority="5932" operator="greaterThan">
      <formula>70</formula>
    </cfRule>
  </conditionalFormatting>
  <conditionalFormatting sqref="I57">
    <cfRule type="cellIs" dxfId="4103" priority="5933" operator="lessThan">
      <formula>0</formula>
    </cfRule>
  </conditionalFormatting>
  <conditionalFormatting sqref="I57">
    <cfRule type="cellIs" dxfId="4102" priority="5934" operator="greaterThan">
      <formula>70</formula>
    </cfRule>
  </conditionalFormatting>
  <conditionalFormatting sqref="J57">
    <cfRule type="cellIs" dxfId="4101" priority="5935" operator="lessThan">
      <formula>0</formula>
    </cfRule>
  </conditionalFormatting>
  <conditionalFormatting sqref="J57">
    <cfRule type="cellIs" dxfId="4100" priority="5936" operator="greaterThan">
      <formula>70</formula>
    </cfRule>
  </conditionalFormatting>
  <conditionalFormatting sqref="K57">
    <cfRule type="cellIs" dxfId="4099" priority="5937" operator="lessThan">
      <formula>0</formula>
    </cfRule>
  </conditionalFormatting>
  <conditionalFormatting sqref="K57">
    <cfRule type="cellIs" dxfId="4098" priority="5938" operator="greaterThan">
      <formula>70</formula>
    </cfRule>
  </conditionalFormatting>
  <conditionalFormatting sqref="L57">
    <cfRule type="cellIs" dxfId="4097" priority="5939" operator="lessThan">
      <formula>0</formula>
    </cfRule>
  </conditionalFormatting>
  <conditionalFormatting sqref="L57">
    <cfRule type="cellIs" dxfId="4096" priority="5940" operator="greaterThan">
      <formula>70</formula>
    </cfRule>
  </conditionalFormatting>
  <conditionalFormatting sqref="S57">
    <cfRule type="cellIs" dxfId="4095" priority="5941" operator="lessThan">
      <formula>0</formula>
    </cfRule>
  </conditionalFormatting>
  <conditionalFormatting sqref="S57">
    <cfRule type="cellIs" dxfId="4094" priority="5942" operator="greaterThan">
      <formula>70</formula>
    </cfRule>
  </conditionalFormatting>
  <conditionalFormatting sqref="T57">
    <cfRule type="cellIs" dxfId="4093" priority="5943" operator="lessThan">
      <formula>0</formula>
    </cfRule>
  </conditionalFormatting>
  <conditionalFormatting sqref="T57">
    <cfRule type="cellIs" dxfId="4092" priority="5944" operator="greaterThan">
      <formula>30</formula>
    </cfRule>
  </conditionalFormatting>
  <conditionalFormatting sqref="C58">
    <cfRule type="cellIs" dxfId="4091" priority="5945" operator="lessThan">
      <formula>0</formula>
    </cfRule>
  </conditionalFormatting>
  <conditionalFormatting sqref="C58">
    <cfRule type="cellIs" dxfId="4090" priority="5946" operator="greaterThan">
      <formula>100</formula>
    </cfRule>
  </conditionalFormatting>
  <conditionalFormatting sqref="F58">
    <cfRule type="cellIs" dxfId="4089" priority="5947" operator="lessThan">
      <formula>0</formula>
    </cfRule>
  </conditionalFormatting>
  <conditionalFormatting sqref="F58">
    <cfRule type="cellIs" dxfId="4088" priority="5948" operator="greaterThan">
      <formula>70</formula>
    </cfRule>
  </conditionalFormatting>
  <conditionalFormatting sqref="G58">
    <cfRule type="cellIs" dxfId="4087" priority="5949" operator="lessThan">
      <formula>0</formula>
    </cfRule>
  </conditionalFormatting>
  <conditionalFormatting sqref="G58">
    <cfRule type="cellIs" dxfId="4086" priority="5950" operator="greaterThan">
      <formula>70</formula>
    </cfRule>
  </conditionalFormatting>
  <conditionalFormatting sqref="H58">
    <cfRule type="cellIs" dxfId="4085" priority="5951" operator="lessThan">
      <formula>0</formula>
    </cfRule>
  </conditionalFormatting>
  <conditionalFormatting sqref="H58">
    <cfRule type="cellIs" dxfId="4084" priority="5952" operator="greaterThan">
      <formula>70</formula>
    </cfRule>
  </conditionalFormatting>
  <conditionalFormatting sqref="I58">
    <cfRule type="cellIs" dxfId="4083" priority="5953" operator="lessThan">
      <formula>0</formula>
    </cfRule>
  </conditionalFormatting>
  <conditionalFormatting sqref="I58">
    <cfRule type="cellIs" dxfId="4082" priority="5954" operator="greaterThan">
      <formula>70</formula>
    </cfRule>
  </conditionalFormatting>
  <conditionalFormatting sqref="J58">
    <cfRule type="cellIs" dxfId="4081" priority="5955" operator="lessThan">
      <formula>0</formula>
    </cfRule>
  </conditionalFormatting>
  <conditionalFormatting sqref="J58">
    <cfRule type="cellIs" dxfId="4080" priority="5956" operator="greaterThan">
      <formula>70</formula>
    </cfRule>
  </conditionalFormatting>
  <conditionalFormatting sqref="K58">
    <cfRule type="cellIs" dxfId="4079" priority="5957" operator="lessThan">
      <formula>0</formula>
    </cfRule>
  </conditionalFormatting>
  <conditionalFormatting sqref="K58">
    <cfRule type="cellIs" dxfId="4078" priority="5958" operator="greaterThan">
      <formula>70</formula>
    </cfRule>
  </conditionalFormatting>
  <conditionalFormatting sqref="L58">
    <cfRule type="cellIs" dxfId="4077" priority="5959" operator="lessThan">
      <formula>0</formula>
    </cfRule>
  </conditionalFormatting>
  <conditionalFormatting sqref="L58">
    <cfRule type="cellIs" dxfId="4076" priority="5960" operator="greaterThan">
      <formula>70</formula>
    </cfRule>
  </conditionalFormatting>
  <conditionalFormatting sqref="S58">
    <cfRule type="cellIs" dxfId="4075" priority="5961" operator="lessThan">
      <formula>0</formula>
    </cfRule>
  </conditionalFormatting>
  <conditionalFormatting sqref="S58">
    <cfRule type="cellIs" dxfId="4074" priority="5962" operator="greaterThan">
      <formula>70</formula>
    </cfRule>
  </conditionalFormatting>
  <conditionalFormatting sqref="T58">
    <cfRule type="cellIs" dxfId="4073" priority="5963" operator="lessThan">
      <formula>0</formula>
    </cfRule>
  </conditionalFormatting>
  <conditionalFormatting sqref="T58">
    <cfRule type="cellIs" dxfId="4072" priority="5964" operator="greaterThan">
      <formula>30</formula>
    </cfRule>
  </conditionalFormatting>
  <conditionalFormatting sqref="C59">
    <cfRule type="cellIs" dxfId="4071" priority="5965" operator="lessThan">
      <formula>0</formula>
    </cfRule>
  </conditionalFormatting>
  <conditionalFormatting sqref="C59">
    <cfRule type="cellIs" dxfId="4070" priority="5966" operator="greaterThan">
      <formula>100</formula>
    </cfRule>
  </conditionalFormatting>
  <conditionalFormatting sqref="F59">
    <cfRule type="cellIs" dxfId="4069" priority="5967" operator="lessThan">
      <formula>0</formula>
    </cfRule>
  </conditionalFormatting>
  <conditionalFormatting sqref="F59">
    <cfRule type="cellIs" dxfId="4068" priority="5968" operator="greaterThan">
      <formula>70</formula>
    </cfRule>
  </conditionalFormatting>
  <conditionalFormatting sqref="G59">
    <cfRule type="cellIs" dxfId="4067" priority="5969" operator="lessThan">
      <formula>0</formula>
    </cfRule>
  </conditionalFormatting>
  <conditionalFormatting sqref="G59">
    <cfRule type="cellIs" dxfId="4066" priority="5970" operator="greaterThan">
      <formula>70</formula>
    </cfRule>
  </conditionalFormatting>
  <conditionalFormatting sqref="H59">
    <cfRule type="cellIs" dxfId="4065" priority="5971" operator="lessThan">
      <formula>0</formula>
    </cfRule>
  </conditionalFormatting>
  <conditionalFormatting sqref="H59">
    <cfRule type="cellIs" dxfId="4064" priority="5972" operator="greaterThan">
      <formula>70</formula>
    </cfRule>
  </conditionalFormatting>
  <conditionalFormatting sqref="I59">
    <cfRule type="cellIs" dxfId="4063" priority="5973" operator="lessThan">
      <formula>0</formula>
    </cfRule>
  </conditionalFormatting>
  <conditionalFormatting sqref="I59">
    <cfRule type="cellIs" dxfId="4062" priority="5974" operator="greaterThan">
      <formula>70</formula>
    </cfRule>
  </conditionalFormatting>
  <conditionalFormatting sqref="J59">
    <cfRule type="cellIs" dxfId="4061" priority="5975" operator="lessThan">
      <formula>0</formula>
    </cfRule>
  </conditionalFormatting>
  <conditionalFormatting sqref="J59">
    <cfRule type="cellIs" dxfId="4060" priority="5976" operator="greaterThan">
      <formula>70</formula>
    </cfRule>
  </conditionalFormatting>
  <conditionalFormatting sqref="K59">
    <cfRule type="cellIs" dxfId="4059" priority="5977" operator="lessThan">
      <formula>0</formula>
    </cfRule>
  </conditionalFormatting>
  <conditionalFormatting sqref="K59">
    <cfRule type="cellIs" dxfId="4058" priority="5978" operator="greaterThan">
      <formula>70</formula>
    </cfRule>
  </conditionalFormatting>
  <conditionalFormatting sqref="L59">
    <cfRule type="cellIs" dxfId="4057" priority="5979" operator="lessThan">
      <formula>0</formula>
    </cfRule>
  </conditionalFormatting>
  <conditionalFormatting sqref="L59">
    <cfRule type="cellIs" dxfId="4056" priority="5980" operator="greaterThan">
      <formula>70</formula>
    </cfRule>
  </conditionalFormatting>
  <conditionalFormatting sqref="S59">
    <cfRule type="cellIs" dxfId="4055" priority="5981" operator="lessThan">
      <formula>0</formula>
    </cfRule>
  </conditionalFormatting>
  <conditionalFormatting sqref="S59">
    <cfRule type="cellIs" dxfId="4054" priority="5982" operator="greaterThan">
      <formula>70</formula>
    </cfRule>
  </conditionalFormatting>
  <conditionalFormatting sqref="T59">
    <cfRule type="cellIs" dxfId="4053" priority="5983" operator="lessThan">
      <formula>0</formula>
    </cfRule>
  </conditionalFormatting>
  <conditionalFormatting sqref="T59">
    <cfRule type="cellIs" dxfId="4052" priority="5984" operator="greaterThan">
      <formula>30</formula>
    </cfRule>
  </conditionalFormatting>
  <conditionalFormatting sqref="C60">
    <cfRule type="cellIs" dxfId="4051" priority="5985" operator="lessThan">
      <formula>0</formula>
    </cfRule>
  </conditionalFormatting>
  <conditionalFormatting sqref="C60">
    <cfRule type="cellIs" dxfId="4050" priority="5986" operator="greaterThan">
      <formula>100</formula>
    </cfRule>
  </conditionalFormatting>
  <conditionalFormatting sqref="F60">
    <cfRule type="cellIs" dxfId="4049" priority="5987" operator="lessThan">
      <formula>0</formula>
    </cfRule>
  </conditionalFormatting>
  <conditionalFormatting sqref="F60">
    <cfRule type="cellIs" dxfId="4048" priority="5988" operator="greaterThan">
      <formula>70</formula>
    </cfRule>
  </conditionalFormatting>
  <conditionalFormatting sqref="G60">
    <cfRule type="cellIs" dxfId="4047" priority="5989" operator="lessThan">
      <formula>0</formula>
    </cfRule>
  </conditionalFormatting>
  <conditionalFormatting sqref="G60">
    <cfRule type="cellIs" dxfId="4046" priority="5990" operator="greaterThan">
      <formula>70</formula>
    </cfRule>
  </conditionalFormatting>
  <conditionalFormatting sqref="H60">
    <cfRule type="cellIs" dxfId="4045" priority="5991" operator="lessThan">
      <formula>0</formula>
    </cfRule>
  </conditionalFormatting>
  <conditionalFormatting sqref="H60">
    <cfRule type="cellIs" dxfId="4044" priority="5992" operator="greaterThan">
      <formula>70</formula>
    </cfRule>
  </conditionalFormatting>
  <conditionalFormatting sqref="I60">
    <cfRule type="cellIs" dxfId="4043" priority="5993" operator="lessThan">
      <formula>0</formula>
    </cfRule>
  </conditionalFormatting>
  <conditionalFormatting sqref="I60">
    <cfRule type="cellIs" dxfId="4042" priority="5994" operator="greaterThan">
      <formula>70</formula>
    </cfRule>
  </conditionalFormatting>
  <conditionalFormatting sqref="J60">
    <cfRule type="cellIs" dxfId="4041" priority="5995" operator="lessThan">
      <formula>0</formula>
    </cfRule>
  </conditionalFormatting>
  <conditionalFormatting sqref="J60">
    <cfRule type="cellIs" dxfId="4040" priority="5996" operator="greaterThan">
      <formula>70</formula>
    </cfRule>
  </conditionalFormatting>
  <conditionalFormatting sqref="K60">
    <cfRule type="cellIs" dxfId="4039" priority="5997" operator="lessThan">
      <formula>0</formula>
    </cfRule>
  </conditionalFormatting>
  <conditionalFormatting sqref="K60">
    <cfRule type="cellIs" dxfId="4038" priority="5998" operator="greaterThan">
      <formula>70</formula>
    </cfRule>
  </conditionalFormatting>
  <conditionalFormatting sqref="L60">
    <cfRule type="cellIs" dxfId="4037" priority="5999" operator="lessThan">
      <formula>0</formula>
    </cfRule>
  </conditionalFormatting>
  <conditionalFormatting sqref="L60">
    <cfRule type="cellIs" dxfId="4036" priority="6000" operator="greaterThan">
      <formula>70</formula>
    </cfRule>
  </conditionalFormatting>
  <conditionalFormatting sqref="S60">
    <cfRule type="cellIs" dxfId="4035" priority="6001" operator="lessThan">
      <formula>0</formula>
    </cfRule>
  </conditionalFormatting>
  <conditionalFormatting sqref="S60">
    <cfRule type="cellIs" dxfId="4034" priority="6002" operator="greaterThan">
      <formula>70</formula>
    </cfRule>
  </conditionalFormatting>
  <conditionalFormatting sqref="T60">
    <cfRule type="cellIs" dxfId="4033" priority="6003" operator="lessThan">
      <formula>0</formula>
    </cfRule>
  </conditionalFormatting>
  <conditionalFormatting sqref="T60">
    <cfRule type="cellIs" dxfId="4032" priority="6004" operator="greaterThan">
      <formula>30</formula>
    </cfRule>
  </conditionalFormatting>
  <conditionalFormatting sqref="C61">
    <cfRule type="cellIs" dxfId="4031" priority="6005" operator="lessThan">
      <formula>0</formula>
    </cfRule>
  </conditionalFormatting>
  <conditionalFormatting sqref="C61">
    <cfRule type="cellIs" dxfId="4030" priority="6006" operator="greaterThan">
      <formula>100</formula>
    </cfRule>
  </conditionalFormatting>
  <conditionalFormatting sqref="F61">
    <cfRule type="cellIs" dxfId="4029" priority="6007" operator="lessThan">
      <formula>0</formula>
    </cfRule>
  </conditionalFormatting>
  <conditionalFormatting sqref="F61">
    <cfRule type="cellIs" dxfId="4028" priority="6008" operator="greaterThan">
      <formula>70</formula>
    </cfRule>
  </conditionalFormatting>
  <conditionalFormatting sqref="G61">
    <cfRule type="cellIs" dxfId="4027" priority="6009" operator="lessThan">
      <formula>0</formula>
    </cfRule>
  </conditionalFormatting>
  <conditionalFormatting sqref="G61">
    <cfRule type="cellIs" dxfId="4026" priority="6010" operator="greaterThan">
      <formula>70</formula>
    </cfRule>
  </conditionalFormatting>
  <conditionalFormatting sqref="H61">
    <cfRule type="cellIs" dxfId="4025" priority="6011" operator="lessThan">
      <formula>0</formula>
    </cfRule>
  </conditionalFormatting>
  <conditionalFormatting sqref="H61">
    <cfRule type="cellIs" dxfId="4024" priority="6012" operator="greaterThan">
      <formula>70</formula>
    </cfRule>
  </conditionalFormatting>
  <conditionalFormatting sqref="I61">
    <cfRule type="cellIs" dxfId="4023" priority="6013" operator="lessThan">
      <formula>0</formula>
    </cfRule>
  </conditionalFormatting>
  <conditionalFormatting sqref="I61">
    <cfRule type="cellIs" dxfId="4022" priority="6014" operator="greaterThan">
      <formula>70</formula>
    </cfRule>
  </conditionalFormatting>
  <conditionalFormatting sqref="J61">
    <cfRule type="cellIs" dxfId="4021" priority="6015" operator="lessThan">
      <formula>0</formula>
    </cfRule>
  </conditionalFormatting>
  <conditionalFormatting sqref="J61">
    <cfRule type="cellIs" dxfId="4020" priority="6016" operator="greaterThan">
      <formula>70</formula>
    </cfRule>
  </conditionalFormatting>
  <conditionalFormatting sqref="K61">
    <cfRule type="cellIs" dxfId="4019" priority="6017" operator="lessThan">
      <formula>0</formula>
    </cfRule>
  </conditionalFormatting>
  <conditionalFormatting sqref="K61">
    <cfRule type="cellIs" dxfId="4018" priority="6018" operator="greaterThan">
      <formula>70</formula>
    </cfRule>
  </conditionalFormatting>
  <conditionalFormatting sqref="L61">
    <cfRule type="cellIs" dxfId="4017" priority="6019" operator="lessThan">
      <formula>0</formula>
    </cfRule>
  </conditionalFormatting>
  <conditionalFormatting sqref="L61">
    <cfRule type="cellIs" dxfId="4016" priority="6020" operator="greaterThan">
      <formula>70</formula>
    </cfRule>
  </conditionalFormatting>
  <conditionalFormatting sqref="S61">
    <cfRule type="cellIs" dxfId="4015" priority="6021" operator="lessThan">
      <formula>0</formula>
    </cfRule>
  </conditionalFormatting>
  <conditionalFormatting sqref="S61">
    <cfRule type="cellIs" dxfId="4014" priority="6022" operator="greaterThan">
      <formula>70</formula>
    </cfRule>
  </conditionalFormatting>
  <conditionalFormatting sqref="T61">
    <cfRule type="cellIs" dxfId="4013" priority="6023" operator="lessThan">
      <formula>0</formula>
    </cfRule>
  </conditionalFormatting>
  <conditionalFormatting sqref="T61">
    <cfRule type="cellIs" dxfId="4012" priority="6024" operator="greaterThan">
      <formula>30</formula>
    </cfRule>
  </conditionalFormatting>
  <conditionalFormatting sqref="C62">
    <cfRule type="cellIs" dxfId="4011" priority="6025" operator="lessThan">
      <formula>0</formula>
    </cfRule>
  </conditionalFormatting>
  <conditionalFormatting sqref="C62">
    <cfRule type="cellIs" dxfId="4010" priority="6026" operator="greaterThan">
      <formula>100</formula>
    </cfRule>
  </conditionalFormatting>
  <conditionalFormatting sqref="F62">
    <cfRule type="cellIs" dxfId="4009" priority="6027" operator="lessThan">
      <formula>0</formula>
    </cfRule>
  </conditionalFormatting>
  <conditionalFormatting sqref="F62">
    <cfRule type="cellIs" dxfId="4008" priority="6028" operator="greaterThan">
      <formula>70</formula>
    </cfRule>
  </conditionalFormatting>
  <conditionalFormatting sqref="G62">
    <cfRule type="cellIs" dxfId="4007" priority="6029" operator="lessThan">
      <formula>0</formula>
    </cfRule>
  </conditionalFormatting>
  <conditionalFormatting sqref="G62">
    <cfRule type="cellIs" dxfId="4006" priority="6030" operator="greaterThan">
      <formula>70</formula>
    </cfRule>
  </conditionalFormatting>
  <conditionalFormatting sqref="H62">
    <cfRule type="cellIs" dxfId="4005" priority="6031" operator="lessThan">
      <formula>0</formula>
    </cfRule>
  </conditionalFormatting>
  <conditionalFormatting sqref="H62">
    <cfRule type="cellIs" dxfId="4004" priority="6032" operator="greaterThan">
      <formula>70</formula>
    </cfRule>
  </conditionalFormatting>
  <conditionalFormatting sqref="I62">
    <cfRule type="cellIs" dxfId="4003" priority="6033" operator="lessThan">
      <formula>0</formula>
    </cfRule>
  </conditionalFormatting>
  <conditionalFormatting sqref="I62">
    <cfRule type="cellIs" dxfId="4002" priority="6034" operator="greaterThan">
      <formula>70</formula>
    </cfRule>
  </conditionalFormatting>
  <conditionalFormatting sqref="J62">
    <cfRule type="cellIs" dxfId="4001" priority="6035" operator="lessThan">
      <formula>0</formula>
    </cfRule>
  </conditionalFormatting>
  <conditionalFormatting sqref="J62">
    <cfRule type="cellIs" dxfId="4000" priority="6036" operator="greaterThan">
      <formula>70</formula>
    </cfRule>
  </conditionalFormatting>
  <conditionalFormatting sqref="K62">
    <cfRule type="cellIs" dxfId="3999" priority="6037" operator="lessThan">
      <formula>0</formula>
    </cfRule>
  </conditionalFormatting>
  <conditionalFormatting sqref="K62">
    <cfRule type="cellIs" dxfId="3998" priority="6038" operator="greaterThan">
      <formula>70</formula>
    </cfRule>
  </conditionalFormatting>
  <conditionalFormatting sqref="L62">
    <cfRule type="cellIs" dxfId="3997" priority="6039" operator="lessThan">
      <formula>0</formula>
    </cfRule>
  </conditionalFormatting>
  <conditionalFormatting sqref="L62">
    <cfRule type="cellIs" dxfId="3996" priority="6040" operator="greaterThan">
      <formula>70</formula>
    </cfRule>
  </conditionalFormatting>
  <conditionalFormatting sqref="S62">
    <cfRule type="cellIs" dxfId="3995" priority="6041" operator="lessThan">
      <formula>0</formula>
    </cfRule>
  </conditionalFormatting>
  <conditionalFormatting sqref="S62">
    <cfRule type="cellIs" dxfId="3994" priority="6042" operator="greaterThan">
      <formula>70</formula>
    </cfRule>
  </conditionalFormatting>
  <conditionalFormatting sqref="T62">
    <cfRule type="cellIs" dxfId="3993" priority="6043" operator="lessThan">
      <formula>0</formula>
    </cfRule>
  </conditionalFormatting>
  <conditionalFormatting sqref="T62">
    <cfRule type="cellIs" dxfId="3992" priority="6044" operator="greaterThan">
      <formula>30</formula>
    </cfRule>
  </conditionalFormatting>
  <conditionalFormatting sqref="C63">
    <cfRule type="cellIs" dxfId="3991" priority="6045" operator="lessThan">
      <formula>0</formula>
    </cfRule>
  </conditionalFormatting>
  <conditionalFormatting sqref="C63">
    <cfRule type="cellIs" dxfId="3990" priority="6046" operator="greaterThan">
      <formula>100</formula>
    </cfRule>
  </conditionalFormatting>
  <conditionalFormatting sqref="F63">
    <cfRule type="cellIs" dxfId="3989" priority="6047" operator="lessThan">
      <formula>0</formula>
    </cfRule>
  </conditionalFormatting>
  <conditionalFormatting sqref="F63">
    <cfRule type="cellIs" dxfId="3988" priority="6048" operator="greaterThan">
      <formula>70</formula>
    </cfRule>
  </conditionalFormatting>
  <conditionalFormatting sqref="G63">
    <cfRule type="cellIs" dxfId="3987" priority="6049" operator="lessThan">
      <formula>0</formula>
    </cfRule>
  </conditionalFormatting>
  <conditionalFormatting sqref="G63">
    <cfRule type="cellIs" dxfId="3986" priority="6050" operator="greaterThan">
      <formula>70</formula>
    </cfRule>
  </conditionalFormatting>
  <conditionalFormatting sqref="H63">
    <cfRule type="cellIs" dxfId="3985" priority="6051" operator="lessThan">
      <formula>0</formula>
    </cfRule>
  </conditionalFormatting>
  <conditionalFormatting sqref="H63">
    <cfRule type="cellIs" dxfId="3984" priority="6052" operator="greaterThan">
      <formula>70</formula>
    </cfRule>
  </conditionalFormatting>
  <conditionalFormatting sqref="I63">
    <cfRule type="cellIs" dxfId="3983" priority="6053" operator="lessThan">
      <formula>0</formula>
    </cfRule>
  </conditionalFormatting>
  <conditionalFormatting sqref="I63">
    <cfRule type="cellIs" dxfId="3982" priority="6054" operator="greaterThan">
      <formula>70</formula>
    </cfRule>
  </conditionalFormatting>
  <conditionalFormatting sqref="J63">
    <cfRule type="cellIs" dxfId="3981" priority="6055" operator="lessThan">
      <formula>0</formula>
    </cfRule>
  </conditionalFormatting>
  <conditionalFormatting sqref="J63">
    <cfRule type="cellIs" dxfId="3980" priority="6056" operator="greaterThan">
      <formula>70</formula>
    </cfRule>
  </conditionalFormatting>
  <conditionalFormatting sqref="K63">
    <cfRule type="cellIs" dxfId="3979" priority="6057" operator="lessThan">
      <formula>0</formula>
    </cfRule>
  </conditionalFormatting>
  <conditionalFormatting sqref="K63">
    <cfRule type="cellIs" dxfId="3978" priority="6058" operator="greaterThan">
      <formula>70</formula>
    </cfRule>
  </conditionalFormatting>
  <conditionalFormatting sqref="L63">
    <cfRule type="cellIs" dxfId="3977" priority="6059" operator="lessThan">
      <formula>0</formula>
    </cfRule>
  </conditionalFormatting>
  <conditionalFormatting sqref="L63">
    <cfRule type="cellIs" dxfId="3976" priority="6060" operator="greaterThan">
      <formula>70</formula>
    </cfRule>
  </conditionalFormatting>
  <conditionalFormatting sqref="S63">
    <cfRule type="cellIs" dxfId="3975" priority="6061" operator="lessThan">
      <formula>0</formula>
    </cfRule>
  </conditionalFormatting>
  <conditionalFormatting sqref="S63">
    <cfRule type="cellIs" dxfId="3974" priority="6062" operator="greaterThan">
      <formula>70</formula>
    </cfRule>
  </conditionalFormatting>
  <conditionalFormatting sqref="T63">
    <cfRule type="cellIs" dxfId="3973" priority="6063" operator="lessThan">
      <formula>0</formula>
    </cfRule>
  </conditionalFormatting>
  <conditionalFormatting sqref="T63">
    <cfRule type="cellIs" dxfId="3972" priority="6064" operator="greaterThan">
      <formula>30</formula>
    </cfRule>
  </conditionalFormatting>
  <conditionalFormatting sqref="C64">
    <cfRule type="cellIs" dxfId="3971" priority="6065" operator="lessThan">
      <formula>0</formula>
    </cfRule>
  </conditionalFormatting>
  <conditionalFormatting sqref="C64">
    <cfRule type="cellIs" dxfId="3970" priority="6066" operator="greaterThan">
      <formula>100</formula>
    </cfRule>
  </conditionalFormatting>
  <conditionalFormatting sqref="F64">
    <cfRule type="cellIs" dxfId="3969" priority="6067" operator="lessThan">
      <formula>0</formula>
    </cfRule>
  </conditionalFormatting>
  <conditionalFormatting sqref="F64">
    <cfRule type="cellIs" dxfId="3968" priority="6068" operator="greaterThan">
      <formula>70</formula>
    </cfRule>
  </conditionalFormatting>
  <conditionalFormatting sqref="G64">
    <cfRule type="cellIs" dxfId="3967" priority="6069" operator="lessThan">
      <formula>0</formula>
    </cfRule>
  </conditionalFormatting>
  <conditionalFormatting sqref="G64">
    <cfRule type="cellIs" dxfId="3966" priority="6070" operator="greaterThan">
      <formula>70</formula>
    </cfRule>
  </conditionalFormatting>
  <conditionalFormatting sqref="H64">
    <cfRule type="cellIs" dxfId="3965" priority="6071" operator="lessThan">
      <formula>0</formula>
    </cfRule>
  </conditionalFormatting>
  <conditionalFormatting sqref="H64">
    <cfRule type="cellIs" dxfId="3964" priority="6072" operator="greaterThan">
      <formula>70</formula>
    </cfRule>
  </conditionalFormatting>
  <conditionalFormatting sqref="I64">
    <cfRule type="cellIs" dxfId="3963" priority="6073" operator="lessThan">
      <formula>0</formula>
    </cfRule>
  </conditionalFormatting>
  <conditionalFormatting sqref="I64">
    <cfRule type="cellIs" dxfId="3962" priority="6074" operator="greaterThan">
      <formula>70</formula>
    </cfRule>
  </conditionalFormatting>
  <conditionalFormatting sqref="J64">
    <cfRule type="cellIs" dxfId="3961" priority="6075" operator="lessThan">
      <formula>0</formula>
    </cfRule>
  </conditionalFormatting>
  <conditionalFormatting sqref="J64">
    <cfRule type="cellIs" dxfId="3960" priority="6076" operator="greaterThan">
      <formula>70</formula>
    </cfRule>
  </conditionalFormatting>
  <conditionalFormatting sqref="K64">
    <cfRule type="cellIs" dxfId="3959" priority="6077" operator="lessThan">
      <formula>0</formula>
    </cfRule>
  </conditionalFormatting>
  <conditionalFormatting sqref="K64">
    <cfRule type="cellIs" dxfId="3958" priority="6078" operator="greaterThan">
      <formula>70</formula>
    </cfRule>
  </conditionalFormatting>
  <conditionalFormatting sqref="L64">
    <cfRule type="cellIs" dxfId="3957" priority="6079" operator="lessThan">
      <formula>0</formula>
    </cfRule>
  </conditionalFormatting>
  <conditionalFormatting sqref="L64">
    <cfRule type="cellIs" dxfId="3956" priority="6080" operator="greaterThan">
      <formula>70</formula>
    </cfRule>
  </conditionalFormatting>
  <conditionalFormatting sqref="S64">
    <cfRule type="cellIs" dxfId="3955" priority="6081" operator="lessThan">
      <formula>0</formula>
    </cfRule>
  </conditionalFormatting>
  <conditionalFormatting sqref="S64">
    <cfRule type="cellIs" dxfId="3954" priority="6082" operator="greaterThan">
      <formula>70</formula>
    </cfRule>
  </conditionalFormatting>
  <conditionalFormatting sqref="T64">
    <cfRule type="cellIs" dxfId="3953" priority="6083" operator="lessThan">
      <formula>0</formula>
    </cfRule>
  </conditionalFormatting>
  <conditionalFormatting sqref="T64">
    <cfRule type="cellIs" dxfId="3952" priority="6084" operator="greaterThan">
      <formula>30</formula>
    </cfRule>
  </conditionalFormatting>
  <conditionalFormatting sqref="C65">
    <cfRule type="cellIs" dxfId="3951" priority="6085" operator="lessThan">
      <formula>0</formula>
    </cfRule>
  </conditionalFormatting>
  <conditionalFormatting sqref="C65">
    <cfRule type="cellIs" dxfId="3950" priority="6086" operator="greaterThan">
      <formula>100</formula>
    </cfRule>
  </conditionalFormatting>
  <conditionalFormatting sqref="F65">
    <cfRule type="cellIs" dxfId="3949" priority="6087" operator="lessThan">
      <formula>0</formula>
    </cfRule>
  </conditionalFormatting>
  <conditionalFormatting sqref="F65">
    <cfRule type="cellIs" dxfId="3948" priority="6088" operator="greaterThan">
      <formula>70</formula>
    </cfRule>
  </conditionalFormatting>
  <conditionalFormatting sqref="G65">
    <cfRule type="cellIs" dxfId="3947" priority="6089" operator="lessThan">
      <formula>0</formula>
    </cfRule>
  </conditionalFormatting>
  <conditionalFormatting sqref="G65">
    <cfRule type="cellIs" dxfId="3946" priority="6090" operator="greaterThan">
      <formula>70</formula>
    </cfRule>
  </conditionalFormatting>
  <conditionalFormatting sqref="H65">
    <cfRule type="cellIs" dxfId="3945" priority="6091" operator="lessThan">
      <formula>0</formula>
    </cfRule>
  </conditionalFormatting>
  <conditionalFormatting sqref="H65">
    <cfRule type="cellIs" dxfId="3944" priority="6092" operator="greaterThan">
      <formula>70</formula>
    </cfRule>
  </conditionalFormatting>
  <conditionalFormatting sqref="I65">
    <cfRule type="cellIs" dxfId="3943" priority="6093" operator="lessThan">
      <formula>0</formula>
    </cfRule>
  </conditionalFormatting>
  <conditionalFormatting sqref="I65">
    <cfRule type="cellIs" dxfId="3942" priority="6094" operator="greaterThan">
      <formula>70</formula>
    </cfRule>
  </conditionalFormatting>
  <conditionalFormatting sqref="J65">
    <cfRule type="cellIs" dxfId="3941" priority="6095" operator="lessThan">
      <formula>0</formula>
    </cfRule>
  </conditionalFormatting>
  <conditionalFormatting sqref="J65">
    <cfRule type="cellIs" dxfId="3940" priority="6096" operator="greaterThan">
      <formula>70</formula>
    </cfRule>
  </conditionalFormatting>
  <conditionalFormatting sqref="K65">
    <cfRule type="cellIs" dxfId="3939" priority="6097" operator="lessThan">
      <formula>0</formula>
    </cfRule>
  </conditionalFormatting>
  <conditionalFormatting sqref="K65">
    <cfRule type="cellIs" dxfId="3938" priority="6098" operator="greaterThan">
      <formula>70</formula>
    </cfRule>
  </conditionalFormatting>
  <conditionalFormatting sqref="L65">
    <cfRule type="cellIs" dxfId="3937" priority="6099" operator="lessThan">
      <formula>0</formula>
    </cfRule>
  </conditionalFormatting>
  <conditionalFormatting sqref="L65">
    <cfRule type="cellIs" dxfId="3936" priority="6100" operator="greaterThan">
      <formula>70</formula>
    </cfRule>
  </conditionalFormatting>
  <conditionalFormatting sqref="S65">
    <cfRule type="cellIs" dxfId="3935" priority="6101" operator="lessThan">
      <formula>0</formula>
    </cfRule>
  </conditionalFormatting>
  <conditionalFormatting sqref="S65">
    <cfRule type="cellIs" dxfId="3934" priority="6102" operator="greaterThan">
      <formula>70</formula>
    </cfRule>
  </conditionalFormatting>
  <conditionalFormatting sqref="T65">
    <cfRule type="cellIs" dxfId="3933" priority="6103" operator="lessThan">
      <formula>0</formula>
    </cfRule>
  </conditionalFormatting>
  <conditionalFormatting sqref="T65">
    <cfRule type="cellIs" dxfId="3932" priority="6104" operator="greaterThan">
      <formula>30</formula>
    </cfRule>
  </conditionalFormatting>
  <conditionalFormatting sqref="C66">
    <cfRule type="cellIs" dxfId="3931" priority="6105" operator="lessThan">
      <formula>0</formula>
    </cfRule>
  </conditionalFormatting>
  <conditionalFormatting sqref="C66">
    <cfRule type="cellIs" dxfId="3930" priority="6106" operator="greaterThan">
      <formula>100</formula>
    </cfRule>
  </conditionalFormatting>
  <conditionalFormatting sqref="F66">
    <cfRule type="cellIs" dxfId="3929" priority="6107" operator="lessThan">
      <formula>0</formula>
    </cfRule>
  </conditionalFormatting>
  <conditionalFormatting sqref="F66">
    <cfRule type="cellIs" dxfId="3928" priority="6108" operator="greaterThan">
      <formula>70</formula>
    </cfRule>
  </conditionalFormatting>
  <conditionalFormatting sqref="G66">
    <cfRule type="cellIs" dxfId="3927" priority="6109" operator="lessThan">
      <formula>0</formula>
    </cfRule>
  </conditionalFormatting>
  <conditionalFormatting sqref="G66">
    <cfRule type="cellIs" dxfId="3926" priority="6110" operator="greaterThan">
      <formula>70</formula>
    </cfRule>
  </conditionalFormatting>
  <conditionalFormatting sqref="H66">
    <cfRule type="cellIs" dxfId="3925" priority="6111" operator="lessThan">
      <formula>0</formula>
    </cfRule>
  </conditionalFormatting>
  <conditionalFormatting sqref="H66">
    <cfRule type="cellIs" dxfId="3924" priority="6112" operator="greaterThan">
      <formula>70</formula>
    </cfRule>
  </conditionalFormatting>
  <conditionalFormatting sqref="I66">
    <cfRule type="cellIs" dxfId="3923" priority="6113" operator="lessThan">
      <formula>0</formula>
    </cfRule>
  </conditionalFormatting>
  <conditionalFormatting sqref="I66">
    <cfRule type="cellIs" dxfId="3922" priority="6114" operator="greaterThan">
      <formula>70</formula>
    </cfRule>
  </conditionalFormatting>
  <conditionalFormatting sqref="J66">
    <cfRule type="cellIs" dxfId="3921" priority="6115" operator="lessThan">
      <formula>0</formula>
    </cfRule>
  </conditionalFormatting>
  <conditionalFormatting sqref="J66">
    <cfRule type="cellIs" dxfId="3920" priority="6116" operator="greaterThan">
      <formula>70</formula>
    </cfRule>
  </conditionalFormatting>
  <conditionalFormatting sqref="K66">
    <cfRule type="cellIs" dxfId="3919" priority="6117" operator="lessThan">
      <formula>0</formula>
    </cfRule>
  </conditionalFormatting>
  <conditionalFormatting sqref="K66">
    <cfRule type="cellIs" dxfId="3918" priority="6118" operator="greaterThan">
      <formula>70</formula>
    </cfRule>
  </conditionalFormatting>
  <conditionalFormatting sqref="L66">
    <cfRule type="cellIs" dxfId="3917" priority="6119" operator="lessThan">
      <formula>0</formula>
    </cfRule>
  </conditionalFormatting>
  <conditionalFormatting sqref="L66">
    <cfRule type="cellIs" dxfId="3916" priority="6120" operator="greaterThan">
      <formula>70</formula>
    </cfRule>
  </conditionalFormatting>
  <conditionalFormatting sqref="S66">
    <cfRule type="cellIs" dxfId="3915" priority="6121" operator="lessThan">
      <formula>0</formula>
    </cfRule>
  </conditionalFormatting>
  <conditionalFormatting sqref="S66">
    <cfRule type="cellIs" dxfId="3914" priority="6122" operator="greaterThan">
      <formula>70</formula>
    </cfRule>
  </conditionalFormatting>
  <conditionalFormatting sqref="T66">
    <cfRule type="cellIs" dxfId="3913" priority="6123" operator="lessThan">
      <formula>0</formula>
    </cfRule>
  </conditionalFormatting>
  <conditionalFormatting sqref="T66">
    <cfRule type="cellIs" dxfId="3912" priority="6124" operator="greaterThan">
      <formula>30</formula>
    </cfRule>
  </conditionalFormatting>
  <conditionalFormatting sqref="C67">
    <cfRule type="cellIs" dxfId="3911" priority="6125" operator="lessThan">
      <formula>0</formula>
    </cfRule>
  </conditionalFormatting>
  <conditionalFormatting sqref="C67">
    <cfRule type="cellIs" dxfId="3910" priority="6126" operator="greaterThan">
      <formula>100</formula>
    </cfRule>
  </conditionalFormatting>
  <conditionalFormatting sqref="F67">
    <cfRule type="cellIs" dxfId="3909" priority="6127" operator="lessThan">
      <formula>0</formula>
    </cfRule>
  </conditionalFormatting>
  <conditionalFormatting sqref="F67">
    <cfRule type="cellIs" dxfId="3908" priority="6128" operator="greaterThan">
      <formula>70</formula>
    </cfRule>
  </conditionalFormatting>
  <conditionalFormatting sqref="G67">
    <cfRule type="cellIs" dxfId="3907" priority="6129" operator="lessThan">
      <formula>0</formula>
    </cfRule>
  </conditionalFormatting>
  <conditionalFormatting sqref="G67">
    <cfRule type="cellIs" dxfId="3906" priority="6130" operator="greaterThan">
      <formula>70</formula>
    </cfRule>
  </conditionalFormatting>
  <conditionalFormatting sqref="H67">
    <cfRule type="cellIs" dxfId="3905" priority="6131" operator="lessThan">
      <formula>0</formula>
    </cfRule>
  </conditionalFormatting>
  <conditionalFormatting sqref="H67">
    <cfRule type="cellIs" dxfId="3904" priority="6132" operator="greaterThan">
      <formula>70</formula>
    </cfRule>
  </conditionalFormatting>
  <conditionalFormatting sqref="I67">
    <cfRule type="cellIs" dxfId="3903" priority="6133" operator="lessThan">
      <formula>0</formula>
    </cfRule>
  </conditionalFormatting>
  <conditionalFormatting sqref="I67">
    <cfRule type="cellIs" dxfId="3902" priority="6134" operator="greaterThan">
      <formula>70</formula>
    </cfRule>
  </conditionalFormatting>
  <conditionalFormatting sqref="J67">
    <cfRule type="cellIs" dxfId="3901" priority="6135" operator="lessThan">
      <formula>0</formula>
    </cfRule>
  </conditionalFormatting>
  <conditionalFormatting sqref="J67">
    <cfRule type="cellIs" dxfId="3900" priority="6136" operator="greaterThan">
      <formula>70</formula>
    </cfRule>
  </conditionalFormatting>
  <conditionalFormatting sqref="K67">
    <cfRule type="cellIs" dxfId="3899" priority="6137" operator="lessThan">
      <formula>0</formula>
    </cfRule>
  </conditionalFormatting>
  <conditionalFormatting sqref="K67">
    <cfRule type="cellIs" dxfId="3898" priority="6138" operator="greaterThan">
      <formula>70</formula>
    </cfRule>
  </conditionalFormatting>
  <conditionalFormatting sqref="L67">
    <cfRule type="cellIs" dxfId="3897" priority="6139" operator="lessThan">
      <formula>0</formula>
    </cfRule>
  </conditionalFormatting>
  <conditionalFormatting sqref="L67">
    <cfRule type="cellIs" dxfId="3896" priority="6140" operator="greaterThan">
      <formula>70</formula>
    </cfRule>
  </conditionalFormatting>
  <conditionalFormatting sqref="S67">
    <cfRule type="cellIs" dxfId="3895" priority="6141" operator="lessThan">
      <formula>0</formula>
    </cfRule>
  </conditionalFormatting>
  <conditionalFormatting sqref="S67">
    <cfRule type="cellIs" dxfId="3894" priority="6142" operator="greaterThan">
      <formula>70</formula>
    </cfRule>
  </conditionalFormatting>
  <conditionalFormatting sqref="T67">
    <cfRule type="cellIs" dxfId="3893" priority="6143" operator="lessThan">
      <formula>0</formula>
    </cfRule>
  </conditionalFormatting>
  <conditionalFormatting sqref="T67">
    <cfRule type="cellIs" dxfId="3892" priority="6144" operator="greaterThan">
      <formula>30</formula>
    </cfRule>
  </conditionalFormatting>
  <conditionalFormatting sqref="C68">
    <cfRule type="cellIs" dxfId="3891" priority="6145" operator="lessThan">
      <formula>0</formula>
    </cfRule>
  </conditionalFormatting>
  <conditionalFormatting sqref="C68">
    <cfRule type="cellIs" dxfId="3890" priority="6146" operator="greaterThan">
      <formula>100</formula>
    </cfRule>
  </conditionalFormatting>
  <conditionalFormatting sqref="F68">
    <cfRule type="cellIs" dxfId="3889" priority="6147" operator="lessThan">
      <formula>0</formula>
    </cfRule>
  </conditionalFormatting>
  <conditionalFormatting sqref="F68">
    <cfRule type="cellIs" dxfId="3888" priority="6148" operator="greaterThan">
      <formula>70</formula>
    </cfRule>
  </conditionalFormatting>
  <conditionalFormatting sqref="G68">
    <cfRule type="cellIs" dxfId="3887" priority="6149" operator="lessThan">
      <formula>0</formula>
    </cfRule>
  </conditionalFormatting>
  <conditionalFormatting sqref="G68">
    <cfRule type="cellIs" dxfId="3886" priority="6150" operator="greaterThan">
      <formula>70</formula>
    </cfRule>
  </conditionalFormatting>
  <conditionalFormatting sqref="H68">
    <cfRule type="cellIs" dxfId="3885" priority="6151" operator="lessThan">
      <formula>0</formula>
    </cfRule>
  </conditionalFormatting>
  <conditionalFormatting sqref="H68">
    <cfRule type="cellIs" dxfId="3884" priority="6152" operator="greaterThan">
      <formula>70</formula>
    </cfRule>
  </conditionalFormatting>
  <conditionalFormatting sqref="I68">
    <cfRule type="cellIs" dxfId="3883" priority="6153" operator="lessThan">
      <formula>0</formula>
    </cfRule>
  </conditionalFormatting>
  <conditionalFormatting sqref="I68">
    <cfRule type="cellIs" dxfId="3882" priority="6154" operator="greaterThan">
      <formula>70</formula>
    </cfRule>
  </conditionalFormatting>
  <conditionalFormatting sqref="J68">
    <cfRule type="cellIs" dxfId="3881" priority="6155" operator="lessThan">
      <formula>0</formula>
    </cfRule>
  </conditionalFormatting>
  <conditionalFormatting sqref="J68">
    <cfRule type="cellIs" dxfId="3880" priority="6156" operator="greaterThan">
      <formula>70</formula>
    </cfRule>
  </conditionalFormatting>
  <conditionalFormatting sqref="K68">
    <cfRule type="cellIs" dxfId="3879" priority="6157" operator="lessThan">
      <formula>0</formula>
    </cfRule>
  </conditionalFormatting>
  <conditionalFormatting sqref="K68">
    <cfRule type="cellIs" dxfId="3878" priority="6158" operator="greaterThan">
      <formula>70</formula>
    </cfRule>
  </conditionalFormatting>
  <conditionalFormatting sqref="L68">
    <cfRule type="cellIs" dxfId="3877" priority="6159" operator="lessThan">
      <formula>0</formula>
    </cfRule>
  </conditionalFormatting>
  <conditionalFormatting sqref="L68">
    <cfRule type="cellIs" dxfId="3876" priority="6160" operator="greaterThan">
      <formula>70</formula>
    </cfRule>
  </conditionalFormatting>
  <conditionalFormatting sqref="S68">
    <cfRule type="cellIs" dxfId="3875" priority="6161" operator="lessThan">
      <formula>0</formula>
    </cfRule>
  </conditionalFormatting>
  <conditionalFormatting sqref="S68">
    <cfRule type="cellIs" dxfId="3874" priority="6162" operator="greaterThan">
      <formula>70</formula>
    </cfRule>
  </conditionalFormatting>
  <conditionalFormatting sqref="T68">
    <cfRule type="cellIs" dxfId="3873" priority="6163" operator="lessThan">
      <formula>0</formula>
    </cfRule>
  </conditionalFormatting>
  <conditionalFormatting sqref="T68">
    <cfRule type="cellIs" dxfId="3872" priority="6164" operator="greaterThan">
      <formula>30</formula>
    </cfRule>
  </conditionalFormatting>
  <conditionalFormatting sqref="C69">
    <cfRule type="cellIs" dxfId="3871" priority="6165" operator="lessThan">
      <formula>0</formula>
    </cfRule>
  </conditionalFormatting>
  <conditionalFormatting sqref="C69">
    <cfRule type="cellIs" dxfId="3870" priority="6166" operator="greaterThan">
      <formula>100</formula>
    </cfRule>
  </conditionalFormatting>
  <conditionalFormatting sqref="F69">
    <cfRule type="cellIs" dxfId="3869" priority="6167" operator="lessThan">
      <formula>0</formula>
    </cfRule>
  </conditionalFormatting>
  <conditionalFormatting sqref="F69">
    <cfRule type="cellIs" dxfId="3868" priority="6168" operator="greaterThan">
      <formula>70</formula>
    </cfRule>
  </conditionalFormatting>
  <conditionalFormatting sqref="G69">
    <cfRule type="cellIs" dxfId="3867" priority="6169" operator="lessThan">
      <formula>0</formula>
    </cfRule>
  </conditionalFormatting>
  <conditionalFormatting sqref="G69">
    <cfRule type="cellIs" dxfId="3866" priority="6170" operator="greaterThan">
      <formula>70</formula>
    </cfRule>
  </conditionalFormatting>
  <conditionalFormatting sqref="H69">
    <cfRule type="cellIs" dxfId="3865" priority="6171" operator="lessThan">
      <formula>0</formula>
    </cfRule>
  </conditionalFormatting>
  <conditionalFormatting sqref="H69">
    <cfRule type="cellIs" dxfId="3864" priority="6172" operator="greaterThan">
      <formula>70</formula>
    </cfRule>
  </conditionalFormatting>
  <conditionalFormatting sqref="I69">
    <cfRule type="cellIs" dxfId="3863" priority="6173" operator="lessThan">
      <formula>0</formula>
    </cfRule>
  </conditionalFormatting>
  <conditionalFormatting sqref="I69">
    <cfRule type="cellIs" dxfId="3862" priority="6174" operator="greaterThan">
      <formula>70</formula>
    </cfRule>
  </conditionalFormatting>
  <conditionalFormatting sqref="J69">
    <cfRule type="cellIs" dxfId="3861" priority="6175" operator="lessThan">
      <formula>0</formula>
    </cfRule>
  </conditionalFormatting>
  <conditionalFormatting sqref="J69">
    <cfRule type="cellIs" dxfId="3860" priority="6176" operator="greaterThan">
      <formula>70</formula>
    </cfRule>
  </conditionalFormatting>
  <conditionalFormatting sqref="K69">
    <cfRule type="cellIs" dxfId="3859" priority="6177" operator="lessThan">
      <formula>0</formula>
    </cfRule>
  </conditionalFormatting>
  <conditionalFormatting sqref="K69">
    <cfRule type="cellIs" dxfId="3858" priority="6178" operator="greaterThan">
      <formula>70</formula>
    </cfRule>
  </conditionalFormatting>
  <conditionalFormatting sqref="L69">
    <cfRule type="cellIs" dxfId="3857" priority="6179" operator="lessThan">
      <formula>0</formula>
    </cfRule>
  </conditionalFormatting>
  <conditionalFormatting sqref="L69">
    <cfRule type="cellIs" dxfId="3856" priority="6180" operator="greaterThan">
      <formula>70</formula>
    </cfRule>
  </conditionalFormatting>
  <conditionalFormatting sqref="S69">
    <cfRule type="cellIs" dxfId="3855" priority="6181" operator="lessThan">
      <formula>0</formula>
    </cfRule>
  </conditionalFormatting>
  <conditionalFormatting sqref="S69">
    <cfRule type="cellIs" dxfId="3854" priority="6182" operator="greaterThan">
      <formula>70</formula>
    </cfRule>
  </conditionalFormatting>
  <conditionalFormatting sqref="T69">
    <cfRule type="cellIs" dxfId="3853" priority="6183" operator="lessThan">
      <formula>0</formula>
    </cfRule>
  </conditionalFormatting>
  <conditionalFormatting sqref="T69">
    <cfRule type="cellIs" dxfId="3852" priority="6184" operator="greaterThan">
      <formula>30</formula>
    </cfRule>
  </conditionalFormatting>
  <conditionalFormatting sqref="C70">
    <cfRule type="cellIs" dxfId="3851" priority="6185" operator="lessThan">
      <formula>0</formula>
    </cfRule>
  </conditionalFormatting>
  <conditionalFormatting sqref="C70">
    <cfRule type="cellIs" dxfId="3850" priority="6186" operator="greaterThan">
      <formula>100</formula>
    </cfRule>
  </conditionalFormatting>
  <conditionalFormatting sqref="F70">
    <cfRule type="cellIs" dxfId="3849" priority="6187" operator="lessThan">
      <formula>0</formula>
    </cfRule>
  </conditionalFormatting>
  <conditionalFormatting sqref="F70">
    <cfRule type="cellIs" dxfId="3848" priority="6188" operator="greaterThan">
      <formula>70</formula>
    </cfRule>
  </conditionalFormatting>
  <conditionalFormatting sqref="G70">
    <cfRule type="cellIs" dxfId="3847" priority="6189" operator="lessThan">
      <formula>0</formula>
    </cfRule>
  </conditionalFormatting>
  <conditionalFormatting sqref="G70">
    <cfRule type="cellIs" dxfId="3846" priority="6190" operator="greaterThan">
      <formula>70</formula>
    </cfRule>
  </conditionalFormatting>
  <conditionalFormatting sqref="H70">
    <cfRule type="cellIs" dxfId="3845" priority="6191" operator="lessThan">
      <formula>0</formula>
    </cfRule>
  </conditionalFormatting>
  <conditionalFormatting sqref="H70">
    <cfRule type="cellIs" dxfId="3844" priority="6192" operator="greaterThan">
      <formula>70</formula>
    </cfRule>
  </conditionalFormatting>
  <conditionalFormatting sqref="I70">
    <cfRule type="cellIs" dxfId="3843" priority="6193" operator="lessThan">
      <formula>0</formula>
    </cfRule>
  </conditionalFormatting>
  <conditionalFormatting sqref="I70">
    <cfRule type="cellIs" dxfId="3842" priority="6194" operator="greaterThan">
      <formula>70</formula>
    </cfRule>
  </conditionalFormatting>
  <conditionalFormatting sqref="J70">
    <cfRule type="cellIs" dxfId="3841" priority="6195" operator="lessThan">
      <formula>0</formula>
    </cfRule>
  </conditionalFormatting>
  <conditionalFormatting sqref="J70">
    <cfRule type="cellIs" dxfId="3840" priority="6196" operator="greaterThan">
      <formula>70</formula>
    </cfRule>
  </conditionalFormatting>
  <conditionalFormatting sqref="K70">
    <cfRule type="cellIs" dxfId="3839" priority="6197" operator="lessThan">
      <formula>0</formula>
    </cfRule>
  </conditionalFormatting>
  <conditionalFormatting sqref="K70">
    <cfRule type="cellIs" dxfId="3838" priority="6198" operator="greaterThan">
      <formula>70</formula>
    </cfRule>
  </conditionalFormatting>
  <conditionalFormatting sqref="L70">
    <cfRule type="cellIs" dxfId="3837" priority="6199" operator="lessThan">
      <formula>0</formula>
    </cfRule>
  </conditionalFormatting>
  <conditionalFormatting sqref="L70">
    <cfRule type="cellIs" dxfId="3836" priority="6200" operator="greaterThan">
      <formula>70</formula>
    </cfRule>
  </conditionalFormatting>
  <conditionalFormatting sqref="S70">
    <cfRule type="cellIs" dxfId="3835" priority="6201" operator="lessThan">
      <formula>0</formula>
    </cfRule>
  </conditionalFormatting>
  <conditionalFormatting sqref="S70">
    <cfRule type="cellIs" dxfId="3834" priority="6202" operator="greaterThan">
      <formula>70</formula>
    </cfRule>
  </conditionalFormatting>
  <conditionalFormatting sqref="T70">
    <cfRule type="cellIs" dxfId="3833" priority="6203" operator="lessThan">
      <formula>0</formula>
    </cfRule>
  </conditionalFormatting>
  <conditionalFormatting sqref="T70">
    <cfRule type="cellIs" dxfId="3832" priority="6204" operator="greaterThan">
      <formula>30</formula>
    </cfRule>
  </conditionalFormatting>
  <conditionalFormatting sqref="C71">
    <cfRule type="cellIs" dxfId="3831" priority="6205" operator="lessThan">
      <formula>0</formula>
    </cfRule>
  </conditionalFormatting>
  <conditionalFormatting sqref="C71">
    <cfRule type="cellIs" dxfId="3830" priority="6206" operator="greaterThan">
      <formula>100</formula>
    </cfRule>
  </conditionalFormatting>
  <conditionalFormatting sqref="F71">
    <cfRule type="cellIs" dxfId="3829" priority="6207" operator="lessThan">
      <formula>0</formula>
    </cfRule>
  </conditionalFormatting>
  <conditionalFormatting sqref="F71">
    <cfRule type="cellIs" dxfId="3828" priority="6208" operator="greaterThan">
      <formula>70</formula>
    </cfRule>
  </conditionalFormatting>
  <conditionalFormatting sqref="G71">
    <cfRule type="cellIs" dxfId="3827" priority="6209" operator="lessThan">
      <formula>0</formula>
    </cfRule>
  </conditionalFormatting>
  <conditionalFormatting sqref="G71">
    <cfRule type="cellIs" dxfId="3826" priority="6210" operator="greaterThan">
      <formula>70</formula>
    </cfRule>
  </conditionalFormatting>
  <conditionalFormatting sqref="H71">
    <cfRule type="cellIs" dxfId="3825" priority="6211" operator="lessThan">
      <formula>0</formula>
    </cfRule>
  </conditionalFormatting>
  <conditionalFormatting sqref="H71">
    <cfRule type="cellIs" dxfId="3824" priority="6212" operator="greaterThan">
      <formula>70</formula>
    </cfRule>
  </conditionalFormatting>
  <conditionalFormatting sqref="I71">
    <cfRule type="cellIs" dxfId="3823" priority="6213" operator="lessThan">
      <formula>0</formula>
    </cfRule>
  </conditionalFormatting>
  <conditionalFormatting sqref="I71">
    <cfRule type="cellIs" dxfId="3822" priority="6214" operator="greaterThan">
      <formula>70</formula>
    </cfRule>
  </conditionalFormatting>
  <conditionalFormatting sqref="J71">
    <cfRule type="cellIs" dxfId="3821" priority="6215" operator="lessThan">
      <formula>0</formula>
    </cfRule>
  </conditionalFormatting>
  <conditionalFormatting sqref="J71">
    <cfRule type="cellIs" dxfId="3820" priority="6216" operator="greaterThan">
      <formula>70</formula>
    </cfRule>
  </conditionalFormatting>
  <conditionalFormatting sqref="K71">
    <cfRule type="cellIs" dxfId="3819" priority="6217" operator="lessThan">
      <formula>0</formula>
    </cfRule>
  </conditionalFormatting>
  <conditionalFormatting sqref="K71">
    <cfRule type="cellIs" dxfId="3818" priority="6218" operator="greaterThan">
      <formula>70</formula>
    </cfRule>
  </conditionalFormatting>
  <conditionalFormatting sqref="L71">
    <cfRule type="cellIs" dxfId="3817" priority="6219" operator="lessThan">
      <formula>0</formula>
    </cfRule>
  </conditionalFormatting>
  <conditionalFormatting sqref="L71">
    <cfRule type="cellIs" dxfId="3816" priority="6220" operator="greaterThan">
      <formula>70</formula>
    </cfRule>
  </conditionalFormatting>
  <conditionalFormatting sqref="S71">
    <cfRule type="cellIs" dxfId="3815" priority="6221" operator="lessThan">
      <formula>0</formula>
    </cfRule>
  </conditionalFormatting>
  <conditionalFormatting sqref="S71">
    <cfRule type="cellIs" dxfId="3814" priority="6222" operator="greaterThan">
      <formula>70</formula>
    </cfRule>
  </conditionalFormatting>
  <conditionalFormatting sqref="T71">
    <cfRule type="cellIs" dxfId="3813" priority="6223" operator="lessThan">
      <formula>0</formula>
    </cfRule>
  </conditionalFormatting>
  <conditionalFormatting sqref="T71">
    <cfRule type="cellIs" dxfId="3812" priority="6224" operator="greaterThan">
      <formula>30</formula>
    </cfRule>
  </conditionalFormatting>
  <conditionalFormatting sqref="C72">
    <cfRule type="cellIs" dxfId="3811" priority="6225" operator="lessThan">
      <formula>0</formula>
    </cfRule>
  </conditionalFormatting>
  <conditionalFormatting sqref="C72">
    <cfRule type="cellIs" dxfId="3810" priority="6226" operator="greaterThan">
      <formula>100</formula>
    </cfRule>
  </conditionalFormatting>
  <conditionalFormatting sqref="F72">
    <cfRule type="cellIs" dxfId="3809" priority="6227" operator="lessThan">
      <formula>0</formula>
    </cfRule>
  </conditionalFormatting>
  <conditionalFormatting sqref="F72">
    <cfRule type="cellIs" dxfId="3808" priority="6228" operator="greaterThan">
      <formula>70</formula>
    </cfRule>
  </conditionalFormatting>
  <conditionalFormatting sqref="G72">
    <cfRule type="cellIs" dxfId="3807" priority="6229" operator="lessThan">
      <formula>0</formula>
    </cfRule>
  </conditionalFormatting>
  <conditionalFormatting sqref="G72">
    <cfRule type="cellIs" dxfId="3806" priority="6230" operator="greaterThan">
      <formula>70</formula>
    </cfRule>
  </conditionalFormatting>
  <conditionalFormatting sqref="H72">
    <cfRule type="cellIs" dxfId="3805" priority="6231" operator="lessThan">
      <formula>0</formula>
    </cfRule>
  </conditionalFormatting>
  <conditionalFormatting sqref="H72">
    <cfRule type="cellIs" dxfId="3804" priority="6232" operator="greaterThan">
      <formula>70</formula>
    </cfRule>
  </conditionalFormatting>
  <conditionalFormatting sqref="I72">
    <cfRule type="cellIs" dxfId="3803" priority="6233" operator="lessThan">
      <formula>0</formula>
    </cfRule>
  </conditionalFormatting>
  <conditionalFormatting sqref="I72">
    <cfRule type="cellIs" dxfId="3802" priority="6234" operator="greaterThan">
      <formula>70</formula>
    </cfRule>
  </conditionalFormatting>
  <conditionalFormatting sqref="J72">
    <cfRule type="cellIs" dxfId="3801" priority="6235" operator="lessThan">
      <formula>0</formula>
    </cfRule>
  </conditionalFormatting>
  <conditionalFormatting sqref="J72">
    <cfRule type="cellIs" dxfId="3800" priority="6236" operator="greaterThan">
      <formula>70</formula>
    </cfRule>
  </conditionalFormatting>
  <conditionalFormatting sqref="K72">
    <cfRule type="cellIs" dxfId="3799" priority="6237" operator="lessThan">
      <formula>0</formula>
    </cfRule>
  </conditionalFormatting>
  <conditionalFormatting sqref="K72">
    <cfRule type="cellIs" dxfId="3798" priority="6238" operator="greaterThan">
      <formula>70</formula>
    </cfRule>
  </conditionalFormatting>
  <conditionalFormatting sqref="L72">
    <cfRule type="cellIs" dxfId="3797" priority="6239" operator="lessThan">
      <formula>0</formula>
    </cfRule>
  </conditionalFormatting>
  <conditionalFormatting sqref="L72">
    <cfRule type="cellIs" dxfId="3796" priority="6240" operator="greaterThan">
      <formula>70</formula>
    </cfRule>
  </conditionalFormatting>
  <conditionalFormatting sqref="S72">
    <cfRule type="cellIs" dxfId="3795" priority="6241" operator="lessThan">
      <formula>0</formula>
    </cfRule>
  </conditionalFormatting>
  <conditionalFormatting sqref="S72">
    <cfRule type="cellIs" dxfId="3794" priority="6242" operator="greaterThan">
      <formula>70</formula>
    </cfRule>
  </conditionalFormatting>
  <conditionalFormatting sqref="T72">
    <cfRule type="cellIs" dxfId="3793" priority="6243" operator="lessThan">
      <formula>0</formula>
    </cfRule>
  </conditionalFormatting>
  <conditionalFormatting sqref="T72">
    <cfRule type="cellIs" dxfId="3792" priority="6244" operator="greaterThan">
      <formula>30</formula>
    </cfRule>
  </conditionalFormatting>
  <conditionalFormatting sqref="C73">
    <cfRule type="cellIs" dxfId="3791" priority="6245" operator="lessThan">
      <formula>0</formula>
    </cfRule>
  </conditionalFormatting>
  <conditionalFormatting sqref="C73">
    <cfRule type="cellIs" dxfId="3790" priority="6246" operator="greaterThan">
      <formula>100</formula>
    </cfRule>
  </conditionalFormatting>
  <conditionalFormatting sqref="F73">
    <cfRule type="cellIs" dxfId="3789" priority="6247" operator="lessThan">
      <formula>0</formula>
    </cfRule>
  </conditionalFormatting>
  <conditionalFormatting sqref="F73">
    <cfRule type="cellIs" dxfId="3788" priority="6248" operator="greaterThan">
      <formula>70</formula>
    </cfRule>
  </conditionalFormatting>
  <conditionalFormatting sqref="G73">
    <cfRule type="cellIs" dxfId="3787" priority="6249" operator="lessThan">
      <formula>0</formula>
    </cfRule>
  </conditionalFormatting>
  <conditionalFormatting sqref="G73">
    <cfRule type="cellIs" dxfId="3786" priority="6250" operator="greaterThan">
      <formula>70</formula>
    </cfRule>
  </conditionalFormatting>
  <conditionalFormatting sqref="H73">
    <cfRule type="cellIs" dxfId="3785" priority="6251" operator="lessThan">
      <formula>0</formula>
    </cfRule>
  </conditionalFormatting>
  <conditionalFormatting sqref="H73">
    <cfRule type="cellIs" dxfId="3784" priority="6252" operator="greaterThan">
      <formula>70</formula>
    </cfRule>
  </conditionalFormatting>
  <conditionalFormatting sqref="I73">
    <cfRule type="cellIs" dxfId="3783" priority="6253" operator="lessThan">
      <formula>0</formula>
    </cfRule>
  </conditionalFormatting>
  <conditionalFormatting sqref="I73">
    <cfRule type="cellIs" dxfId="3782" priority="6254" operator="greaterThan">
      <formula>70</formula>
    </cfRule>
  </conditionalFormatting>
  <conditionalFormatting sqref="J73">
    <cfRule type="cellIs" dxfId="3781" priority="6255" operator="lessThan">
      <formula>0</formula>
    </cfRule>
  </conditionalFormatting>
  <conditionalFormatting sqref="J73">
    <cfRule type="cellIs" dxfId="3780" priority="6256" operator="greaterThan">
      <formula>70</formula>
    </cfRule>
  </conditionalFormatting>
  <conditionalFormatting sqref="K73">
    <cfRule type="cellIs" dxfId="3779" priority="6257" operator="lessThan">
      <formula>0</formula>
    </cfRule>
  </conditionalFormatting>
  <conditionalFormatting sqref="K73">
    <cfRule type="cellIs" dxfId="3778" priority="6258" operator="greaterThan">
      <formula>70</formula>
    </cfRule>
  </conditionalFormatting>
  <conditionalFormatting sqref="L73">
    <cfRule type="cellIs" dxfId="3777" priority="6259" operator="lessThan">
      <formula>0</formula>
    </cfRule>
  </conditionalFormatting>
  <conditionalFormatting sqref="L73">
    <cfRule type="cellIs" dxfId="3776" priority="6260" operator="greaterThan">
      <formula>70</formula>
    </cfRule>
  </conditionalFormatting>
  <conditionalFormatting sqref="S73">
    <cfRule type="cellIs" dxfId="3775" priority="6261" operator="lessThan">
      <formula>0</formula>
    </cfRule>
  </conditionalFormatting>
  <conditionalFormatting sqref="S73">
    <cfRule type="cellIs" dxfId="3774" priority="6262" operator="greaterThan">
      <formula>70</formula>
    </cfRule>
  </conditionalFormatting>
  <conditionalFormatting sqref="T73">
    <cfRule type="cellIs" dxfId="3773" priority="6263" operator="lessThan">
      <formula>0</formula>
    </cfRule>
  </conditionalFormatting>
  <conditionalFormatting sqref="T73">
    <cfRule type="cellIs" dxfId="3772" priority="6264" operator="greaterThan">
      <formula>30</formula>
    </cfRule>
  </conditionalFormatting>
  <conditionalFormatting sqref="C74">
    <cfRule type="cellIs" dxfId="3771" priority="6265" operator="lessThan">
      <formula>0</formula>
    </cfRule>
  </conditionalFormatting>
  <conditionalFormatting sqref="C74">
    <cfRule type="cellIs" dxfId="3770" priority="6266" operator="greaterThan">
      <formula>100</formula>
    </cfRule>
  </conditionalFormatting>
  <conditionalFormatting sqref="F74">
    <cfRule type="cellIs" dxfId="3769" priority="6267" operator="lessThan">
      <formula>0</formula>
    </cfRule>
  </conditionalFormatting>
  <conditionalFormatting sqref="F74">
    <cfRule type="cellIs" dxfId="3768" priority="6268" operator="greaterThan">
      <formula>70</formula>
    </cfRule>
  </conditionalFormatting>
  <conditionalFormatting sqref="G74">
    <cfRule type="cellIs" dxfId="3767" priority="6269" operator="lessThan">
      <formula>0</formula>
    </cfRule>
  </conditionalFormatting>
  <conditionalFormatting sqref="G74">
    <cfRule type="cellIs" dxfId="3766" priority="6270" operator="greaterThan">
      <formula>70</formula>
    </cfRule>
  </conditionalFormatting>
  <conditionalFormatting sqref="H74">
    <cfRule type="cellIs" dxfId="3765" priority="6271" operator="lessThan">
      <formula>0</formula>
    </cfRule>
  </conditionalFormatting>
  <conditionalFormatting sqref="H74">
    <cfRule type="cellIs" dxfId="3764" priority="6272" operator="greaterThan">
      <formula>70</formula>
    </cfRule>
  </conditionalFormatting>
  <conditionalFormatting sqref="I74">
    <cfRule type="cellIs" dxfId="3763" priority="6273" operator="lessThan">
      <formula>0</formula>
    </cfRule>
  </conditionalFormatting>
  <conditionalFormatting sqref="I74">
    <cfRule type="cellIs" dxfId="3762" priority="6274" operator="greaterThan">
      <formula>70</formula>
    </cfRule>
  </conditionalFormatting>
  <conditionalFormatting sqref="J74">
    <cfRule type="cellIs" dxfId="3761" priority="6275" operator="lessThan">
      <formula>0</formula>
    </cfRule>
  </conditionalFormatting>
  <conditionalFormatting sqref="J74">
    <cfRule type="cellIs" dxfId="3760" priority="6276" operator="greaterThan">
      <formula>70</formula>
    </cfRule>
  </conditionalFormatting>
  <conditionalFormatting sqref="K74">
    <cfRule type="cellIs" dxfId="3759" priority="6277" operator="lessThan">
      <formula>0</formula>
    </cfRule>
  </conditionalFormatting>
  <conditionalFormatting sqref="K74">
    <cfRule type="cellIs" dxfId="3758" priority="6278" operator="greaterThan">
      <formula>70</formula>
    </cfRule>
  </conditionalFormatting>
  <conditionalFormatting sqref="L74">
    <cfRule type="cellIs" dxfId="3757" priority="6279" operator="lessThan">
      <formula>0</formula>
    </cfRule>
  </conditionalFormatting>
  <conditionalFormatting sqref="L74">
    <cfRule type="cellIs" dxfId="3756" priority="6280" operator="greaterThan">
      <formula>70</formula>
    </cfRule>
  </conditionalFormatting>
  <conditionalFormatting sqref="S74">
    <cfRule type="cellIs" dxfId="3755" priority="6281" operator="lessThan">
      <formula>0</formula>
    </cfRule>
  </conditionalFormatting>
  <conditionalFormatting sqref="S74">
    <cfRule type="cellIs" dxfId="3754" priority="6282" operator="greaterThan">
      <formula>70</formula>
    </cfRule>
  </conditionalFormatting>
  <conditionalFormatting sqref="T74">
    <cfRule type="cellIs" dxfId="3753" priority="6283" operator="lessThan">
      <formula>0</formula>
    </cfRule>
  </conditionalFormatting>
  <conditionalFormatting sqref="T74">
    <cfRule type="cellIs" dxfId="3752" priority="6284" operator="greaterThan">
      <formula>30</formula>
    </cfRule>
  </conditionalFormatting>
  <conditionalFormatting sqref="C75">
    <cfRule type="cellIs" dxfId="3751" priority="6285" operator="lessThan">
      <formula>0</formula>
    </cfRule>
  </conditionalFormatting>
  <conditionalFormatting sqref="C75">
    <cfRule type="cellIs" dxfId="3750" priority="6286" operator="greaterThan">
      <formula>100</formula>
    </cfRule>
  </conditionalFormatting>
  <conditionalFormatting sqref="F75">
    <cfRule type="cellIs" dxfId="3749" priority="6287" operator="lessThan">
      <formula>0</formula>
    </cfRule>
  </conditionalFormatting>
  <conditionalFormatting sqref="F75">
    <cfRule type="cellIs" dxfId="3748" priority="6288" operator="greaterThan">
      <formula>70</formula>
    </cfRule>
  </conditionalFormatting>
  <conditionalFormatting sqref="G75">
    <cfRule type="cellIs" dxfId="3747" priority="6289" operator="lessThan">
      <formula>0</formula>
    </cfRule>
  </conditionalFormatting>
  <conditionalFormatting sqref="G75">
    <cfRule type="cellIs" dxfId="3746" priority="6290" operator="greaterThan">
      <formula>70</formula>
    </cfRule>
  </conditionalFormatting>
  <conditionalFormatting sqref="H75">
    <cfRule type="cellIs" dxfId="3745" priority="6291" operator="lessThan">
      <formula>0</formula>
    </cfRule>
  </conditionalFormatting>
  <conditionalFormatting sqref="H75">
    <cfRule type="cellIs" dxfId="3744" priority="6292" operator="greaterThan">
      <formula>70</formula>
    </cfRule>
  </conditionalFormatting>
  <conditionalFormatting sqref="I75">
    <cfRule type="cellIs" dxfId="3743" priority="6293" operator="lessThan">
      <formula>0</formula>
    </cfRule>
  </conditionalFormatting>
  <conditionalFormatting sqref="I75">
    <cfRule type="cellIs" dxfId="3742" priority="6294" operator="greaterThan">
      <formula>70</formula>
    </cfRule>
  </conditionalFormatting>
  <conditionalFormatting sqref="J75">
    <cfRule type="cellIs" dxfId="3741" priority="6295" operator="lessThan">
      <formula>0</formula>
    </cfRule>
  </conditionalFormatting>
  <conditionalFormatting sqref="J75">
    <cfRule type="cellIs" dxfId="3740" priority="6296" operator="greaterThan">
      <formula>70</formula>
    </cfRule>
  </conditionalFormatting>
  <conditionalFormatting sqref="K75">
    <cfRule type="cellIs" dxfId="3739" priority="6297" operator="lessThan">
      <formula>0</formula>
    </cfRule>
  </conditionalFormatting>
  <conditionalFormatting sqref="K75">
    <cfRule type="cellIs" dxfId="3738" priority="6298" operator="greaterThan">
      <formula>70</formula>
    </cfRule>
  </conditionalFormatting>
  <conditionalFormatting sqref="L75">
    <cfRule type="cellIs" dxfId="3737" priority="6299" operator="lessThan">
      <formula>0</formula>
    </cfRule>
  </conditionalFormatting>
  <conditionalFormatting sqref="L75">
    <cfRule type="cellIs" dxfId="3736" priority="6300" operator="greaterThan">
      <formula>70</formula>
    </cfRule>
  </conditionalFormatting>
  <conditionalFormatting sqref="S75">
    <cfRule type="cellIs" dxfId="3735" priority="6301" operator="lessThan">
      <formula>0</formula>
    </cfRule>
  </conditionalFormatting>
  <conditionalFormatting sqref="S75">
    <cfRule type="cellIs" dxfId="3734" priority="6302" operator="greaterThan">
      <formula>70</formula>
    </cfRule>
  </conditionalFormatting>
  <conditionalFormatting sqref="T75">
    <cfRule type="cellIs" dxfId="3733" priority="6303" operator="lessThan">
      <formula>0</formula>
    </cfRule>
  </conditionalFormatting>
  <conditionalFormatting sqref="T75">
    <cfRule type="cellIs" dxfId="3732" priority="6304" operator="greaterThan">
      <formula>30</formula>
    </cfRule>
  </conditionalFormatting>
  <conditionalFormatting sqref="C76">
    <cfRule type="cellIs" dxfId="3731" priority="6305" operator="lessThan">
      <formula>0</formula>
    </cfRule>
  </conditionalFormatting>
  <conditionalFormatting sqref="C76">
    <cfRule type="cellIs" dxfId="3730" priority="6306" operator="greaterThan">
      <formula>100</formula>
    </cfRule>
  </conditionalFormatting>
  <conditionalFormatting sqref="F76">
    <cfRule type="cellIs" dxfId="3729" priority="6307" operator="lessThan">
      <formula>0</formula>
    </cfRule>
  </conditionalFormatting>
  <conditionalFormatting sqref="F76">
    <cfRule type="cellIs" dxfId="3728" priority="6308" operator="greaterThan">
      <formula>70</formula>
    </cfRule>
  </conditionalFormatting>
  <conditionalFormatting sqref="G76">
    <cfRule type="cellIs" dxfId="3727" priority="6309" operator="lessThan">
      <formula>0</formula>
    </cfRule>
  </conditionalFormatting>
  <conditionalFormatting sqref="G76">
    <cfRule type="cellIs" dxfId="3726" priority="6310" operator="greaterThan">
      <formula>70</formula>
    </cfRule>
  </conditionalFormatting>
  <conditionalFormatting sqref="H76">
    <cfRule type="cellIs" dxfId="3725" priority="6311" operator="lessThan">
      <formula>0</formula>
    </cfRule>
  </conditionalFormatting>
  <conditionalFormatting sqref="H76">
    <cfRule type="cellIs" dxfId="3724" priority="6312" operator="greaterThan">
      <formula>70</formula>
    </cfRule>
  </conditionalFormatting>
  <conditionalFormatting sqref="I76">
    <cfRule type="cellIs" dxfId="3723" priority="6313" operator="lessThan">
      <formula>0</formula>
    </cfRule>
  </conditionalFormatting>
  <conditionalFormatting sqref="I76">
    <cfRule type="cellIs" dxfId="3722" priority="6314" operator="greaterThan">
      <formula>70</formula>
    </cfRule>
  </conditionalFormatting>
  <conditionalFormatting sqref="J76">
    <cfRule type="cellIs" dxfId="3721" priority="6315" operator="lessThan">
      <formula>0</formula>
    </cfRule>
  </conditionalFormatting>
  <conditionalFormatting sqref="J76">
    <cfRule type="cellIs" dxfId="3720" priority="6316" operator="greaterThan">
      <formula>70</formula>
    </cfRule>
  </conditionalFormatting>
  <conditionalFormatting sqref="K76">
    <cfRule type="cellIs" dxfId="3719" priority="6317" operator="lessThan">
      <formula>0</formula>
    </cfRule>
  </conditionalFormatting>
  <conditionalFormatting sqref="K76">
    <cfRule type="cellIs" dxfId="3718" priority="6318" operator="greaterThan">
      <formula>70</formula>
    </cfRule>
  </conditionalFormatting>
  <conditionalFormatting sqref="L76">
    <cfRule type="cellIs" dxfId="3717" priority="6319" operator="lessThan">
      <formula>0</formula>
    </cfRule>
  </conditionalFormatting>
  <conditionalFormatting sqref="L76">
    <cfRule type="cellIs" dxfId="3716" priority="6320" operator="greaterThan">
      <formula>70</formula>
    </cfRule>
  </conditionalFormatting>
  <conditionalFormatting sqref="S76">
    <cfRule type="cellIs" dxfId="3715" priority="6321" operator="lessThan">
      <formula>0</formula>
    </cfRule>
  </conditionalFormatting>
  <conditionalFormatting sqref="S76">
    <cfRule type="cellIs" dxfId="3714" priority="6322" operator="greaterThan">
      <formula>70</formula>
    </cfRule>
  </conditionalFormatting>
  <conditionalFormatting sqref="T76">
    <cfRule type="cellIs" dxfId="3713" priority="6323" operator="lessThan">
      <formula>0</formula>
    </cfRule>
  </conditionalFormatting>
  <conditionalFormatting sqref="T76">
    <cfRule type="cellIs" dxfId="3712" priority="6324" operator="greaterThan">
      <formula>30</formula>
    </cfRule>
  </conditionalFormatting>
  <conditionalFormatting sqref="C77">
    <cfRule type="cellIs" dxfId="3711" priority="6325" operator="lessThan">
      <formula>0</formula>
    </cfRule>
  </conditionalFormatting>
  <conditionalFormatting sqref="C77">
    <cfRule type="cellIs" dxfId="3710" priority="6326" operator="greaterThan">
      <formula>100</formula>
    </cfRule>
  </conditionalFormatting>
  <conditionalFormatting sqref="F77">
    <cfRule type="cellIs" dxfId="3709" priority="6327" operator="lessThan">
      <formula>0</formula>
    </cfRule>
  </conditionalFormatting>
  <conditionalFormatting sqref="F77">
    <cfRule type="cellIs" dxfId="3708" priority="6328" operator="greaterThan">
      <formula>70</formula>
    </cfRule>
  </conditionalFormatting>
  <conditionalFormatting sqref="G77">
    <cfRule type="cellIs" dxfId="3707" priority="6329" operator="lessThan">
      <formula>0</formula>
    </cfRule>
  </conditionalFormatting>
  <conditionalFormatting sqref="G77">
    <cfRule type="cellIs" dxfId="3706" priority="6330" operator="greaterThan">
      <formula>70</formula>
    </cfRule>
  </conditionalFormatting>
  <conditionalFormatting sqref="H77">
    <cfRule type="cellIs" dxfId="3705" priority="6331" operator="lessThan">
      <formula>0</formula>
    </cfRule>
  </conditionalFormatting>
  <conditionalFormatting sqref="H77">
    <cfRule type="cellIs" dxfId="3704" priority="6332" operator="greaterThan">
      <formula>70</formula>
    </cfRule>
  </conditionalFormatting>
  <conditionalFormatting sqref="I77">
    <cfRule type="cellIs" dxfId="3703" priority="6333" operator="lessThan">
      <formula>0</formula>
    </cfRule>
  </conditionalFormatting>
  <conditionalFormatting sqref="I77">
    <cfRule type="cellIs" dxfId="3702" priority="6334" operator="greaterThan">
      <formula>70</formula>
    </cfRule>
  </conditionalFormatting>
  <conditionalFormatting sqref="J77">
    <cfRule type="cellIs" dxfId="3701" priority="6335" operator="lessThan">
      <formula>0</formula>
    </cfRule>
  </conditionalFormatting>
  <conditionalFormatting sqref="J77">
    <cfRule type="cellIs" dxfId="3700" priority="6336" operator="greaterThan">
      <formula>70</formula>
    </cfRule>
  </conditionalFormatting>
  <conditionalFormatting sqref="K77">
    <cfRule type="cellIs" dxfId="3699" priority="6337" operator="lessThan">
      <formula>0</formula>
    </cfRule>
  </conditionalFormatting>
  <conditionalFormatting sqref="K77">
    <cfRule type="cellIs" dxfId="3698" priority="6338" operator="greaterThan">
      <formula>70</formula>
    </cfRule>
  </conditionalFormatting>
  <conditionalFormatting sqref="L77">
    <cfRule type="cellIs" dxfId="3697" priority="6339" operator="lessThan">
      <formula>0</formula>
    </cfRule>
  </conditionalFormatting>
  <conditionalFormatting sqref="L77">
    <cfRule type="cellIs" dxfId="3696" priority="6340" operator="greaterThan">
      <formula>70</formula>
    </cfRule>
  </conditionalFormatting>
  <conditionalFormatting sqref="S77">
    <cfRule type="cellIs" dxfId="3695" priority="6341" operator="lessThan">
      <formula>0</formula>
    </cfRule>
  </conditionalFormatting>
  <conditionalFormatting sqref="S77">
    <cfRule type="cellIs" dxfId="3694" priority="6342" operator="greaterThan">
      <formula>70</formula>
    </cfRule>
  </conditionalFormatting>
  <conditionalFormatting sqref="T77">
    <cfRule type="cellIs" dxfId="3693" priority="6343" operator="lessThan">
      <formula>0</formula>
    </cfRule>
  </conditionalFormatting>
  <conditionalFormatting sqref="T77">
    <cfRule type="cellIs" dxfId="3692" priority="6344" operator="greaterThan">
      <formula>30</formula>
    </cfRule>
  </conditionalFormatting>
  <conditionalFormatting sqref="C78">
    <cfRule type="cellIs" dxfId="3691" priority="6345" operator="lessThan">
      <formula>0</formula>
    </cfRule>
  </conditionalFormatting>
  <conditionalFormatting sqref="C78">
    <cfRule type="cellIs" dxfId="3690" priority="6346" operator="greaterThan">
      <formula>100</formula>
    </cfRule>
  </conditionalFormatting>
  <conditionalFormatting sqref="F78">
    <cfRule type="cellIs" dxfId="3689" priority="6347" operator="lessThan">
      <formula>0</formula>
    </cfRule>
  </conditionalFormatting>
  <conditionalFormatting sqref="F78">
    <cfRule type="cellIs" dxfId="3688" priority="6348" operator="greaterThan">
      <formula>70</formula>
    </cfRule>
  </conditionalFormatting>
  <conditionalFormatting sqref="G78">
    <cfRule type="cellIs" dxfId="3687" priority="6349" operator="lessThan">
      <formula>0</formula>
    </cfRule>
  </conditionalFormatting>
  <conditionalFormatting sqref="G78">
    <cfRule type="cellIs" dxfId="3686" priority="6350" operator="greaterThan">
      <formula>70</formula>
    </cfRule>
  </conditionalFormatting>
  <conditionalFormatting sqref="H78">
    <cfRule type="cellIs" dxfId="3685" priority="6351" operator="lessThan">
      <formula>0</formula>
    </cfRule>
  </conditionalFormatting>
  <conditionalFormatting sqref="H78">
    <cfRule type="cellIs" dxfId="3684" priority="6352" operator="greaterThan">
      <formula>70</formula>
    </cfRule>
  </conditionalFormatting>
  <conditionalFormatting sqref="I78">
    <cfRule type="cellIs" dxfId="3683" priority="6353" operator="lessThan">
      <formula>0</formula>
    </cfRule>
  </conditionalFormatting>
  <conditionalFormatting sqref="I78">
    <cfRule type="cellIs" dxfId="3682" priority="6354" operator="greaterThan">
      <formula>70</formula>
    </cfRule>
  </conditionalFormatting>
  <conditionalFormatting sqref="J78">
    <cfRule type="cellIs" dxfId="3681" priority="6355" operator="lessThan">
      <formula>0</formula>
    </cfRule>
  </conditionalFormatting>
  <conditionalFormatting sqref="J78">
    <cfRule type="cellIs" dxfId="3680" priority="6356" operator="greaterThan">
      <formula>70</formula>
    </cfRule>
  </conditionalFormatting>
  <conditionalFormatting sqref="K78">
    <cfRule type="cellIs" dxfId="3679" priority="6357" operator="lessThan">
      <formula>0</formula>
    </cfRule>
  </conditionalFormatting>
  <conditionalFormatting sqref="K78">
    <cfRule type="cellIs" dxfId="3678" priority="6358" operator="greaterThan">
      <formula>70</formula>
    </cfRule>
  </conditionalFormatting>
  <conditionalFormatting sqref="L78">
    <cfRule type="cellIs" dxfId="3677" priority="6359" operator="lessThan">
      <formula>0</formula>
    </cfRule>
  </conditionalFormatting>
  <conditionalFormatting sqref="L78">
    <cfRule type="cellIs" dxfId="3676" priority="6360" operator="greaterThan">
      <formula>70</formula>
    </cfRule>
  </conditionalFormatting>
  <conditionalFormatting sqref="S78">
    <cfRule type="cellIs" dxfId="3675" priority="6361" operator="lessThan">
      <formula>0</formula>
    </cfRule>
  </conditionalFormatting>
  <conditionalFormatting sqref="S78">
    <cfRule type="cellIs" dxfId="3674" priority="6362" operator="greaterThan">
      <formula>70</formula>
    </cfRule>
  </conditionalFormatting>
  <conditionalFormatting sqref="T78">
    <cfRule type="cellIs" dxfId="3673" priority="6363" operator="lessThan">
      <formula>0</formula>
    </cfRule>
  </conditionalFormatting>
  <conditionalFormatting sqref="T78">
    <cfRule type="cellIs" dxfId="3672" priority="6364" operator="greaterThan">
      <formula>30</formula>
    </cfRule>
  </conditionalFormatting>
  <conditionalFormatting sqref="C79">
    <cfRule type="cellIs" dxfId="3671" priority="6365" operator="lessThan">
      <formula>0</formula>
    </cfRule>
  </conditionalFormatting>
  <conditionalFormatting sqref="C79">
    <cfRule type="cellIs" dxfId="3670" priority="6366" operator="greaterThan">
      <formula>100</formula>
    </cfRule>
  </conditionalFormatting>
  <conditionalFormatting sqref="F79">
    <cfRule type="cellIs" dxfId="3669" priority="6367" operator="lessThan">
      <formula>0</formula>
    </cfRule>
  </conditionalFormatting>
  <conditionalFormatting sqref="F79">
    <cfRule type="cellIs" dxfId="3668" priority="6368" operator="greaterThan">
      <formula>70</formula>
    </cfRule>
  </conditionalFormatting>
  <conditionalFormatting sqref="G79">
    <cfRule type="cellIs" dxfId="3667" priority="6369" operator="lessThan">
      <formula>0</formula>
    </cfRule>
  </conditionalFormatting>
  <conditionalFormatting sqref="G79">
    <cfRule type="cellIs" dxfId="3666" priority="6370" operator="greaterThan">
      <formula>70</formula>
    </cfRule>
  </conditionalFormatting>
  <conditionalFormatting sqref="H79">
    <cfRule type="cellIs" dxfId="3665" priority="6371" operator="lessThan">
      <formula>0</formula>
    </cfRule>
  </conditionalFormatting>
  <conditionalFormatting sqref="H79">
    <cfRule type="cellIs" dxfId="3664" priority="6372" operator="greaterThan">
      <formula>70</formula>
    </cfRule>
  </conditionalFormatting>
  <conditionalFormatting sqref="I79">
    <cfRule type="cellIs" dxfId="3663" priority="6373" operator="lessThan">
      <formula>0</formula>
    </cfRule>
  </conditionalFormatting>
  <conditionalFormatting sqref="I79">
    <cfRule type="cellIs" dxfId="3662" priority="6374" operator="greaterThan">
      <formula>70</formula>
    </cfRule>
  </conditionalFormatting>
  <conditionalFormatting sqref="J79">
    <cfRule type="cellIs" dxfId="3661" priority="6375" operator="lessThan">
      <formula>0</formula>
    </cfRule>
  </conditionalFormatting>
  <conditionalFormatting sqref="J79">
    <cfRule type="cellIs" dxfId="3660" priority="6376" operator="greaterThan">
      <formula>70</formula>
    </cfRule>
  </conditionalFormatting>
  <conditionalFormatting sqref="K79">
    <cfRule type="cellIs" dxfId="3659" priority="6377" operator="lessThan">
      <formula>0</formula>
    </cfRule>
  </conditionalFormatting>
  <conditionalFormatting sqref="K79">
    <cfRule type="cellIs" dxfId="3658" priority="6378" operator="greaterThan">
      <formula>70</formula>
    </cfRule>
  </conditionalFormatting>
  <conditionalFormatting sqref="L79">
    <cfRule type="cellIs" dxfId="3657" priority="6379" operator="lessThan">
      <formula>0</formula>
    </cfRule>
  </conditionalFormatting>
  <conditionalFormatting sqref="L79">
    <cfRule type="cellIs" dxfId="3656" priority="6380" operator="greaterThan">
      <formula>70</formula>
    </cfRule>
  </conditionalFormatting>
  <conditionalFormatting sqref="S79">
    <cfRule type="cellIs" dxfId="3655" priority="6381" operator="lessThan">
      <formula>0</formula>
    </cfRule>
  </conditionalFormatting>
  <conditionalFormatting sqref="S79">
    <cfRule type="cellIs" dxfId="3654" priority="6382" operator="greaterThan">
      <formula>70</formula>
    </cfRule>
  </conditionalFormatting>
  <conditionalFormatting sqref="T79">
    <cfRule type="cellIs" dxfId="3653" priority="6383" operator="lessThan">
      <formula>0</formula>
    </cfRule>
  </conditionalFormatting>
  <conditionalFormatting sqref="T79">
    <cfRule type="cellIs" dxfId="3652" priority="6384" operator="greaterThan">
      <formula>30</formula>
    </cfRule>
  </conditionalFormatting>
  <conditionalFormatting sqref="C80">
    <cfRule type="cellIs" dxfId="3651" priority="6385" operator="lessThan">
      <formula>0</formula>
    </cfRule>
  </conditionalFormatting>
  <conditionalFormatting sqref="C80">
    <cfRule type="cellIs" dxfId="3650" priority="6386" operator="greaterThan">
      <formula>100</formula>
    </cfRule>
  </conditionalFormatting>
  <conditionalFormatting sqref="F80">
    <cfRule type="cellIs" dxfId="3649" priority="6387" operator="lessThan">
      <formula>0</formula>
    </cfRule>
  </conditionalFormatting>
  <conditionalFormatting sqref="F80">
    <cfRule type="cellIs" dxfId="3648" priority="6388" operator="greaterThan">
      <formula>70</formula>
    </cfRule>
  </conditionalFormatting>
  <conditionalFormatting sqref="G80">
    <cfRule type="cellIs" dxfId="3647" priority="6389" operator="lessThan">
      <formula>0</formula>
    </cfRule>
  </conditionalFormatting>
  <conditionalFormatting sqref="G80">
    <cfRule type="cellIs" dxfId="3646" priority="6390" operator="greaterThan">
      <formula>70</formula>
    </cfRule>
  </conditionalFormatting>
  <conditionalFormatting sqref="H80">
    <cfRule type="cellIs" dxfId="3645" priority="6391" operator="lessThan">
      <formula>0</formula>
    </cfRule>
  </conditionalFormatting>
  <conditionalFormatting sqref="H80">
    <cfRule type="cellIs" dxfId="3644" priority="6392" operator="greaterThan">
      <formula>70</formula>
    </cfRule>
  </conditionalFormatting>
  <conditionalFormatting sqref="I80">
    <cfRule type="cellIs" dxfId="3643" priority="6393" operator="lessThan">
      <formula>0</formula>
    </cfRule>
  </conditionalFormatting>
  <conditionalFormatting sqref="I80">
    <cfRule type="cellIs" dxfId="3642" priority="6394" operator="greaterThan">
      <formula>70</formula>
    </cfRule>
  </conditionalFormatting>
  <conditionalFormatting sqref="J80">
    <cfRule type="cellIs" dxfId="3641" priority="6395" operator="lessThan">
      <formula>0</formula>
    </cfRule>
  </conditionalFormatting>
  <conditionalFormatting sqref="J80">
    <cfRule type="cellIs" dxfId="3640" priority="6396" operator="greaterThan">
      <formula>70</formula>
    </cfRule>
  </conditionalFormatting>
  <conditionalFormatting sqref="K80">
    <cfRule type="cellIs" dxfId="3639" priority="6397" operator="lessThan">
      <formula>0</formula>
    </cfRule>
  </conditionalFormatting>
  <conditionalFormatting sqref="K80">
    <cfRule type="cellIs" dxfId="3638" priority="6398" operator="greaterThan">
      <formula>70</formula>
    </cfRule>
  </conditionalFormatting>
  <conditionalFormatting sqref="L80">
    <cfRule type="cellIs" dxfId="3637" priority="6399" operator="lessThan">
      <formula>0</formula>
    </cfRule>
  </conditionalFormatting>
  <conditionalFormatting sqref="L80">
    <cfRule type="cellIs" dxfId="3636" priority="6400" operator="greaterThan">
      <formula>70</formula>
    </cfRule>
  </conditionalFormatting>
  <conditionalFormatting sqref="S80">
    <cfRule type="cellIs" dxfId="3635" priority="6401" operator="lessThan">
      <formula>0</formula>
    </cfRule>
  </conditionalFormatting>
  <conditionalFormatting sqref="S80">
    <cfRule type="cellIs" dxfId="3634" priority="6402" operator="greaterThan">
      <formula>70</formula>
    </cfRule>
  </conditionalFormatting>
  <conditionalFormatting sqref="T80">
    <cfRule type="cellIs" dxfId="3633" priority="6403" operator="lessThan">
      <formula>0</formula>
    </cfRule>
  </conditionalFormatting>
  <conditionalFormatting sqref="T80">
    <cfRule type="cellIs" dxfId="3632" priority="6404" operator="greaterThan">
      <formula>30</formula>
    </cfRule>
  </conditionalFormatting>
  <conditionalFormatting sqref="C81">
    <cfRule type="cellIs" dxfId="3631" priority="6405" operator="lessThan">
      <formula>0</formula>
    </cfRule>
  </conditionalFormatting>
  <conditionalFormatting sqref="C81">
    <cfRule type="cellIs" dxfId="3630" priority="6406" operator="greaterThan">
      <formula>100</formula>
    </cfRule>
  </conditionalFormatting>
  <conditionalFormatting sqref="F81">
    <cfRule type="cellIs" dxfId="3629" priority="6407" operator="lessThan">
      <formula>0</formula>
    </cfRule>
  </conditionalFormatting>
  <conditionalFormatting sqref="F81">
    <cfRule type="cellIs" dxfId="3628" priority="6408" operator="greaterThan">
      <formula>70</formula>
    </cfRule>
  </conditionalFormatting>
  <conditionalFormatting sqref="G81">
    <cfRule type="cellIs" dxfId="3627" priority="6409" operator="lessThan">
      <formula>0</formula>
    </cfRule>
  </conditionalFormatting>
  <conditionalFormatting sqref="G81">
    <cfRule type="cellIs" dxfId="3626" priority="6410" operator="greaterThan">
      <formula>70</formula>
    </cfRule>
  </conditionalFormatting>
  <conditionalFormatting sqref="H81">
    <cfRule type="cellIs" dxfId="3625" priority="6411" operator="lessThan">
      <formula>0</formula>
    </cfRule>
  </conditionalFormatting>
  <conditionalFormatting sqref="H81">
    <cfRule type="cellIs" dxfId="3624" priority="6412" operator="greaterThan">
      <formula>70</formula>
    </cfRule>
  </conditionalFormatting>
  <conditionalFormatting sqref="I81">
    <cfRule type="cellIs" dxfId="3623" priority="6413" operator="lessThan">
      <formula>0</formula>
    </cfRule>
  </conditionalFormatting>
  <conditionalFormatting sqref="I81">
    <cfRule type="cellIs" dxfId="3622" priority="6414" operator="greaterThan">
      <formula>70</formula>
    </cfRule>
  </conditionalFormatting>
  <conditionalFormatting sqref="J81">
    <cfRule type="cellIs" dxfId="3621" priority="6415" operator="lessThan">
      <formula>0</formula>
    </cfRule>
  </conditionalFormatting>
  <conditionalFormatting sqref="J81">
    <cfRule type="cellIs" dxfId="3620" priority="6416" operator="greaterThan">
      <formula>70</formula>
    </cfRule>
  </conditionalFormatting>
  <conditionalFormatting sqref="K81">
    <cfRule type="cellIs" dxfId="3619" priority="6417" operator="lessThan">
      <formula>0</formula>
    </cfRule>
  </conditionalFormatting>
  <conditionalFormatting sqref="K81">
    <cfRule type="cellIs" dxfId="3618" priority="6418" operator="greaterThan">
      <formula>70</formula>
    </cfRule>
  </conditionalFormatting>
  <conditionalFormatting sqref="L81">
    <cfRule type="cellIs" dxfId="3617" priority="6419" operator="lessThan">
      <formula>0</formula>
    </cfRule>
  </conditionalFormatting>
  <conditionalFormatting sqref="L81">
    <cfRule type="cellIs" dxfId="3616" priority="6420" operator="greaterThan">
      <formula>70</formula>
    </cfRule>
  </conditionalFormatting>
  <conditionalFormatting sqref="S81">
    <cfRule type="cellIs" dxfId="3615" priority="6421" operator="lessThan">
      <formula>0</formula>
    </cfRule>
  </conditionalFormatting>
  <conditionalFormatting sqref="S81">
    <cfRule type="cellIs" dxfId="3614" priority="6422" operator="greaterThan">
      <formula>70</formula>
    </cfRule>
  </conditionalFormatting>
  <conditionalFormatting sqref="T81">
    <cfRule type="cellIs" dxfId="3613" priority="6423" operator="lessThan">
      <formula>0</formula>
    </cfRule>
  </conditionalFormatting>
  <conditionalFormatting sqref="T81">
    <cfRule type="cellIs" dxfId="3612" priority="6424" operator="greaterThan">
      <formula>30</formula>
    </cfRule>
  </conditionalFormatting>
  <conditionalFormatting sqref="C82">
    <cfRule type="cellIs" dxfId="3611" priority="6425" operator="lessThan">
      <formula>0</formula>
    </cfRule>
  </conditionalFormatting>
  <conditionalFormatting sqref="C82">
    <cfRule type="cellIs" dxfId="3610" priority="6426" operator="greaterThan">
      <formula>100</formula>
    </cfRule>
  </conditionalFormatting>
  <conditionalFormatting sqref="F82">
    <cfRule type="cellIs" dxfId="3609" priority="6427" operator="lessThan">
      <formula>0</formula>
    </cfRule>
  </conditionalFormatting>
  <conditionalFormatting sqref="F82">
    <cfRule type="cellIs" dxfId="3608" priority="6428" operator="greaterThan">
      <formula>70</formula>
    </cfRule>
  </conditionalFormatting>
  <conditionalFormatting sqref="G82">
    <cfRule type="cellIs" dxfId="3607" priority="6429" operator="lessThan">
      <formula>0</formula>
    </cfRule>
  </conditionalFormatting>
  <conditionalFormatting sqref="G82">
    <cfRule type="cellIs" dxfId="3606" priority="6430" operator="greaterThan">
      <formula>70</formula>
    </cfRule>
  </conditionalFormatting>
  <conditionalFormatting sqref="H82">
    <cfRule type="cellIs" dxfId="3605" priority="6431" operator="lessThan">
      <formula>0</formula>
    </cfRule>
  </conditionalFormatting>
  <conditionalFormatting sqref="H82">
    <cfRule type="cellIs" dxfId="3604" priority="6432" operator="greaterThan">
      <formula>70</formula>
    </cfRule>
  </conditionalFormatting>
  <conditionalFormatting sqref="I82">
    <cfRule type="cellIs" dxfId="3603" priority="6433" operator="lessThan">
      <formula>0</formula>
    </cfRule>
  </conditionalFormatting>
  <conditionalFormatting sqref="I82">
    <cfRule type="cellIs" dxfId="3602" priority="6434" operator="greaterThan">
      <formula>70</formula>
    </cfRule>
  </conditionalFormatting>
  <conditionalFormatting sqref="J82">
    <cfRule type="cellIs" dxfId="3601" priority="6435" operator="lessThan">
      <formula>0</formula>
    </cfRule>
  </conditionalFormatting>
  <conditionalFormatting sqref="J82">
    <cfRule type="cellIs" dxfId="3600" priority="6436" operator="greaterThan">
      <formula>70</formula>
    </cfRule>
  </conditionalFormatting>
  <conditionalFormatting sqref="K82">
    <cfRule type="cellIs" dxfId="3599" priority="6437" operator="lessThan">
      <formula>0</formula>
    </cfRule>
  </conditionalFormatting>
  <conditionalFormatting sqref="K82">
    <cfRule type="cellIs" dxfId="3598" priority="6438" operator="greaterThan">
      <formula>70</formula>
    </cfRule>
  </conditionalFormatting>
  <conditionalFormatting sqref="S82">
    <cfRule type="cellIs" dxfId="3597" priority="6439" operator="lessThan">
      <formula>0</formula>
    </cfRule>
  </conditionalFormatting>
  <conditionalFormatting sqref="S82">
    <cfRule type="cellIs" dxfId="3596" priority="6440" operator="greaterThan">
      <formula>70</formula>
    </cfRule>
  </conditionalFormatting>
  <conditionalFormatting sqref="T82">
    <cfRule type="cellIs" dxfId="3595" priority="6441" operator="lessThan">
      <formula>0</formula>
    </cfRule>
  </conditionalFormatting>
  <conditionalFormatting sqref="T82">
    <cfRule type="cellIs" dxfId="3594" priority="6442" operator="greaterThan">
      <formula>30</formula>
    </cfRule>
  </conditionalFormatting>
  <conditionalFormatting sqref="C83">
    <cfRule type="cellIs" dxfId="3593" priority="6443" operator="lessThan">
      <formula>0</formula>
    </cfRule>
  </conditionalFormatting>
  <conditionalFormatting sqref="C83">
    <cfRule type="cellIs" dxfId="3592" priority="6444" operator="greaterThan">
      <formula>100</formula>
    </cfRule>
  </conditionalFormatting>
  <conditionalFormatting sqref="F83">
    <cfRule type="cellIs" dxfId="3591" priority="6445" operator="lessThan">
      <formula>0</formula>
    </cfRule>
  </conditionalFormatting>
  <conditionalFormatting sqref="F83">
    <cfRule type="cellIs" dxfId="3590" priority="6446" operator="greaterThan">
      <formula>70</formula>
    </cfRule>
  </conditionalFormatting>
  <conditionalFormatting sqref="G83">
    <cfRule type="cellIs" dxfId="3589" priority="6447" operator="lessThan">
      <formula>0</formula>
    </cfRule>
  </conditionalFormatting>
  <conditionalFormatting sqref="G83">
    <cfRule type="cellIs" dxfId="3588" priority="6448" operator="greaterThan">
      <formula>70</formula>
    </cfRule>
  </conditionalFormatting>
  <conditionalFormatting sqref="H83">
    <cfRule type="cellIs" dxfId="3587" priority="6449" operator="lessThan">
      <formula>0</formula>
    </cfRule>
  </conditionalFormatting>
  <conditionalFormatting sqref="H83">
    <cfRule type="cellIs" dxfId="3586" priority="6450" operator="greaterThan">
      <formula>70</formula>
    </cfRule>
  </conditionalFormatting>
  <conditionalFormatting sqref="I83">
    <cfRule type="cellIs" dxfId="3585" priority="6451" operator="lessThan">
      <formula>0</formula>
    </cfRule>
  </conditionalFormatting>
  <conditionalFormatting sqref="I83">
    <cfRule type="cellIs" dxfId="3584" priority="6452" operator="greaterThan">
      <formula>70</formula>
    </cfRule>
  </conditionalFormatting>
  <conditionalFormatting sqref="J83">
    <cfRule type="cellIs" dxfId="3583" priority="6453" operator="lessThan">
      <formula>0</formula>
    </cfRule>
  </conditionalFormatting>
  <conditionalFormatting sqref="J83">
    <cfRule type="cellIs" dxfId="3582" priority="6454" operator="greaterThan">
      <formula>70</formula>
    </cfRule>
  </conditionalFormatting>
  <conditionalFormatting sqref="K83">
    <cfRule type="cellIs" dxfId="3581" priority="6455" operator="lessThan">
      <formula>0</formula>
    </cfRule>
  </conditionalFormatting>
  <conditionalFormatting sqref="K83">
    <cfRule type="cellIs" dxfId="3580" priority="6456" operator="greaterThan">
      <formula>70</formula>
    </cfRule>
  </conditionalFormatting>
  <conditionalFormatting sqref="S83">
    <cfRule type="cellIs" dxfId="3579" priority="6457" operator="lessThan">
      <formula>0</formula>
    </cfRule>
  </conditionalFormatting>
  <conditionalFormatting sqref="S83">
    <cfRule type="cellIs" dxfId="3578" priority="6458" operator="greaterThan">
      <formula>70</formula>
    </cfRule>
  </conditionalFormatting>
  <conditionalFormatting sqref="T83">
    <cfRule type="cellIs" dxfId="3577" priority="6459" operator="lessThan">
      <formula>0</formula>
    </cfRule>
  </conditionalFormatting>
  <conditionalFormatting sqref="T83">
    <cfRule type="cellIs" dxfId="3576" priority="6460" operator="greaterThan">
      <formula>30</formula>
    </cfRule>
  </conditionalFormatting>
  <conditionalFormatting sqref="C84">
    <cfRule type="cellIs" dxfId="3575" priority="6461" operator="lessThan">
      <formula>0</formula>
    </cfRule>
  </conditionalFormatting>
  <conditionalFormatting sqref="C84">
    <cfRule type="cellIs" dxfId="3574" priority="6462" operator="greaterThan">
      <formula>100</formula>
    </cfRule>
  </conditionalFormatting>
  <conditionalFormatting sqref="F84">
    <cfRule type="cellIs" dxfId="3573" priority="6463" operator="lessThan">
      <formula>0</formula>
    </cfRule>
  </conditionalFormatting>
  <conditionalFormatting sqref="F84">
    <cfRule type="cellIs" dxfId="3572" priority="6464" operator="greaterThan">
      <formula>70</formula>
    </cfRule>
  </conditionalFormatting>
  <conditionalFormatting sqref="G84">
    <cfRule type="cellIs" dxfId="3571" priority="6465" operator="lessThan">
      <formula>0</formula>
    </cfRule>
  </conditionalFormatting>
  <conditionalFormatting sqref="G84">
    <cfRule type="cellIs" dxfId="3570" priority="6466" operator="greaterThan">
      <formula>70</formula>
    </cfRule>
  </conditionalFormatting>
  <conditionalFormatting sqref="H84">
    <cfRule type="cellIs" dxfId="3569" priority="6467" operator="lessThan">
      <formula>0</formula>
    </cfRule>
  </conditionalFormatting>
  <conditionalFormatting sqref="H84">
    <cfRule type="cellIs" dxfId="3568" priority="6468" operator="greaterThan">
      <formula>70</formula>
    </cfRule>
  </conditionalFormatting>
  <conditionalFormatting sqref="I84">
    <cfRule type="cellIs" dxfId="3567" priority="6469" operator="lessThan">
      <formula>0</formula>
    </cfRule>
  </conditionalFormatting>
  <conditionalFormatting sqref="I84">
    <cfRule type="cellIs" dxfId="3566" priority="6470" operator="greaterThan">
      <formula>70</formula>
    </cfRule>
  </conditionalFormatting>
  <conditionalFormatting sqref="J84">
    <cfRule type="cellIs" dxfId="3565" priority="6471" operator="lessThan">
      <formula>0</formula>
    </cfRule>
  </conditionalFormatting>
  <conditionalFormatting sqref="J84">
    <cfRule type="cellIs" dxfId="3564" priority="6472" operator="greaterThan">
      <formula>70</formula>
    </cfRule>
  </conditionalFormatting>
  <conditionalFormatting sqref="K84">
    <cfRule type="cellIs" dxfId="3563" priority="6473" operator="lessThan">
      <formula>0</formula>
    </cfRule>
  </conditionalFormatting>
  <conditionalFormatting sqref="K84">
    <cfRule type="cellIs" dxfId="3562" priority="6474" operator="greaterThan">
      <formula>70</formula>
    </cfRule>
  </conditionalFormatting>
  <conditionalFormatting sqref="S84">
    <cfRule type="cellIs" dxfId="3561" priority="6475" operator="lessThan">
      <formula>0</formula>
    </cfRule>
  </conditionalFormatting>
  <conditionalFormatting sqref="S84">
    <cfRule type="cellIs" dxfId="3560" priority="6476" operator="greaterThan">
      <formula>70</formula>
    </cfRule>
  </conditionalFormatting>
  <conditionalFormatting sqref="T84">
    <cfRule type="cellIs" dxfId="3559" priority="6477" operator="lessThan">
      <formula>0</formula>
    </cfRule>
  </conditionalFormatting>
  <conditionalFormatting sqref="T84">
    <cfRule type="cellIs" dxfId="3558" priority="6478" operator="greaterThan">
      <formula>30</formula>
    </cfRule>
  </conditionalFormatting>
  <conditionalFormatting sqref="C85">
    <cfRule type="cellIs" dxfId="3557" priority="6479" operator="lessThan">
      <formula>0</formula>
    </cfRule>
  </conditionalFormatting>
  <conditionalFormatting sqref="C85">
    <cfRule type="cellIs" dxfId="3556" priority="6480" operator="greaterThan">
      <formula>100</formula>
    </cfRule>
  </conditionalFormatting>
  <conditionalFormatting sqref="F85">
    <cfRule type="cellIs" dxfId="3555" priority="6481" operator="lessThan">
      <formula>0</formula>
    </cfRule>
  </conditionalFormatting>
  <conditionalFormatting sqref="F85">
    <cfRule type="cellIs" dxfId="3554" priority="6482" operator="greaterThan">
      <formula>70</formula>
    </cfRule>
  </conditionalFormatting>
  <conditionalFormatting sqref="G85">
    <cfRule type="cellIs" dxfId="3553" priority="6483" operator="lessThan">
      <formula>0</formula>
    </cfRule>
  </conditionalFormatting>
  <conditionalFormatting sqref="G85">
    <cfRule type="cellIs" dxfId="3552" priority="6484" operator="greaterThan">
      <formula>70</formula>
    </cfRule>
  </conditionalFormatting>
  <conditionalFormatting sqref="H85">
    <cfRule type="cellIs" dxfId="3551" priority="6485" operator="lessThan">
      <formula>0</formula>
    </cfRule>
  </conditionalFormatting>
  <conditionalFormatting sqref="H85">
    <cfRule type="cellIs" dxfId="3550" priority="6486" operator="greaterThan">
      <formula>70</formula>
    </cfRule>
  </conditionalFormatting>
  <conditionalFormatting sqref="I85">
    <cfRule type="cellIs" dxfId="3549" priority="6487" operator="lessThan">
      <formula>0</formula>
    </cfRule>
  </conditionalFormatting>
  <conditionalFormatting sqref="I85">
    <cfRule type="cellIs" dxfId="3548" priority="6488" operator="greaterThan">
      <formula>70</formula>
    </cfRule>
  </conditionalFormatting>
  <conditionalFormatting sqref="J85">
    <cfRule type="cellIs" dxfId="3547" priority="6489" operator="lessThan">
      <formula>0</formula>
    </cfRule>
  </conditionalFormatting>
  <conditionalFormatting sqref="J85">
    <cfRule type="cellIs" dxfId="3546" priority="6490" operator="greaterThan">
      <formula>70</formula>
    </cfRule>
  </conditionalFormatting>
  <conditionalFormatting sqref="K85">
    <cfRule type="cellIs" dxfId="3545" priority="6491" operator="lessThan">
      <formula>0</formula>
    </cfRule>
  </conditionalFormatting>
  <conditionalFormatting sqref="K85">
    <cfRule type="cellIs" dxfId="3544" priority="6492" operator="greaterThan">
      <formula>70</formula>
    </cfRule>
  </conditionalFormatting>
  <conditionalFormatting sqref="S85">
    <cfRule type="cellIs" dxfId="3543" priority="6493" operator="lessThan">
      <formula>0</formula>
    </cfRule>
  </conditionalFormatting>
  <conditionalFormatting sqref="S85">
    <cfRule type="cellIs" dxfId="3542" priority="6494" operator="greaterThan">
      <formula>70</formula>
    </cfRule>
  </conditionalFormatting>
  <conditionalFormatting sqref="T85">
    <cfRule type="cellIs" dxfId="3541" priority="6495" operator="lessThan">
      <formula>0</formula>
    </cfRule>
  </conditionalFormatting>
  <conditionalFormatting sqref="T85">
    <cfRule type="cellIs" dxfId="3540" priority="6496" operator="greaterThan">
      <formula>30</formula>
    </cfRule>
  </conditionalFormatting>
  <conditionalFormatting sqref="C86">
    <cfRule type="cellIs" dxfId="3539" priority="6497" operator="lessThan">
      <formula>0</formula>
    </cfRule>
  </conditionalFormatting>
  <conditionalFormatting sqref="C86">
    <cfRule type="cellIs" dxfId="3538" priority="6498" operator="greaterThan">
      <formula>100</formula>
    </cfRule>
  </conditionalFormatting>
  <conditionalFormatting sqref="F86">
    <cfRule type="cellIs" dxfId="3537" priority="6499" operator="lessThan">
      <formula>0</formula>
    </cfRule>
  </conditionalFormatting>
  <conditionalFormatting sqref="F86">
    <cfRule type="cellIs" dxfId="3536" priority="6500" operator="greaterThan">
      <formula>70</formula>
    </cfRule>
  </conditionalFormatting>
  <conditionalFormatting sqref="G86">
    <cfRule type="cellIs" dxfId="3535" priority="6501" operator="lessThan">
      <formula>0</formula>
    </cfRule>
  </conditionalFormatting>
  <conditionalFormatting sqref="G86">
    <cfRule type="cellIs" dxfId="3534" priority="6502" operator="greaterThan">
      <formula>70</formula>
    </cfRule>
  </conditionalFormatting>
  <conditionalFormatting sqref="H86">
    <cfRule type="cellIs" dxfId="3533" priority="6503" operator="lessThan">
      <formula>0</formula>
    </cfRule>
  </conditionalFormatting>
  <conditionalFormatting sqref="H86">
    <cfRule type="cellIs" dxfId="3532" priority="6504" operator="greaterThan">
      <formula>70</formula>
    </cfRule>
  </conditionalFormatting>
  <conditionalFormatting sqref="I86">
    <cfRule type="cellIs" dxfId="3531" priority="6505" operator="lessThan">
      <formula>0</formula>
    </cfRule>
  </conditionalFormatting>
  <conditionalFormatting sqref="I86">
    <cfRule type="cellIs" dxfId="3530" priority="6506" operator="greaterThan">
      <formula>70</formula>
    </cfRule>
  </conditionalFormatting>
  <conditionalFormatting sqref="J86">
    <cfRule type="cellIs" dxfId="3529" priority="6507" operator="lessThan">
      <formula>0</formula>
    </cfRule>
  </conditionalFormatting>
  <conditionalFormatting sqref="J86">
    <cfRule type="cellIs" dxfId="3528" priority="6508" operator="greaterThan">
      <formula>70</formula>
    </cfRule>
  </conditionalFormatting>
  <conditionalFormatting sqref="K86">
    <cfRule type="cellIs" dxfId="3527" priority="6509" operator="lessThan">
      <formula>0</formula>
    </cfRule>
  </conditionalFormatting>
  <conditionalFormatting sqref="K86">
    <cfRule type="cellIs" dxfId="3526" priority="6510" operator="greaterThan">
      <formula>70</formula>
    </cfRule>
  </conditionalFormatting>
  <conditionalFormatting sqref="S86">
    <cfRule type="cellIs" dxfId="3525" priority="6511" operator="lessThan">
      <formula>0</formula>
    </cfRule>
  </conditionalFormatting>
  <conditionalFormatting sqref="S86">
    <cfRule type="cellIs" dxfId="3524" priority="6512" operator="greaterThan">
      <formula>70</formula>
    </cfRule>
  </conditionalFormatting>
  <conditionalFormatting sqref="T86">
    <cfRule type="cellIs" dxfId="3523" priority="6513" operator="lessThan">
      <formula>0</formula>
    </cfRule>
  </conditionalFormatting>
  <conditionalFormatting sqref="T86">
    <cfRule type="cellIs" dxfId="3522" priority="6514" operator="greaterThan">
      <formula>30</formula>
    </cfRule>
  </conditionalFormatting>
  <conditionalFormatting sqref="C87">
    <cfRule type="cellIs" dxfId="3521" priority="6515" operator="lessThan">
      <formula>0</formula>
    </cfRule>
  </conditionalFormatting>
  <conditionalFormatting sqref="C87">
    <cfRule type="cellIs" dxfId="3520" priority="6516" operator="greaterThan">
      <formula>100</formula>
    </cfRule>
  </conditionalFormatting>
  <conditionalFormatting sqref="F87">
    <cfRule type="cellIs" dxfId="3519" priority="6517" operator="lessThan">
      <formula>0</formula>
    </cfRule>
  </conditionalFormatting>
  <conditionalFormatting sqref="F87">
    <cfRule type="cellIs" dxfId="3518" priority="6518" operator="greaterThan">
      <formula>70</formula>
    </cfRule>
  </conditionalFormatting>
  <conditionalFormatting sqref="G87">
    <cfRule type="cellIs" dxfId="3517" priority="6519" operator="lessThan">
      <formula>0</formula>
    </cfRule>
  </conditionalFormatting>
  <conditionalFormatting sqref="G87">
    <cfRule type="cellIs" dxfId="3516" priority="6520" operator="greaterThan">
      <formula>70</formula>
    </cfRule>
  </conditionalFormatting>
  <conditionalFormatting sqref="H87">
    <cfRule type="cellIs" dxfId="3515" priority="6521" operator="lessThan">
      <formula>0</formula>
    </cfRule>
  </conditionalFormatting>
  <conditionalFormatting sqref="H87">
    <cfRule type="cellIs" dxfId="3514" priority="6522" operator="greaterThan">
      <formula>70</formula>
    </cfRule>
  </conditionalFormatting>
  <conditionalFormatting sqref="I87">
    <cfRule type="cellIs" dxfId="3513" priority="6523" operator="lessThan">
      <formula>0</formula>
    </cfRule>
  </conditionalFormatting>
  <conditionalFormatting sqref="I87">
    <cfRule type="cellIs" dxfId="3512" priority="6524" operator="greaterThan">
      <formula>70</formula>
    </cfRule>
  </conditionalFormatting>
  <conditionalFormatting sqref="J87">
    <cfRule type="cellIs" dxfId="3511" priority="6525" operator="lessThan">
      <formula>0</formula>
    </cfRule>
  </conditionalFormatting>
  <conditionalFormatting sqref="J87">
    <cfRule type="cellIs" dxfId="3510" priority="6526" operator="greaterThan">
      <formula>70</formula>
    </cfRule>
  </conditionalFormatting>
  <conditionalFormatting sqref="K87">
    <cfRule type="cellIs" dxfId="3509" priority="6527" operator="lessThan">
      <formula>0</formula>
    </cfRule>
  </conditionalFormatting>
  <conditionalFormatting sqref="K87">
    <cfRule type="cellIs" dxfId="3508" priority="6528" operator="greaterThan">
      <formula>70</formula>
    </cfRule>
  </conditionalFormatting>
  <conditionalFormatting sqref="S87">
    <cfRule type="cellIs" dxfId="3507" priority="6529" operator="lessThan">
      <formula>0</formula>
    </cfRule>
  </conditionalFormatting>
  <conditionalFormatting sqref="S87">
    <cfRule type="cellIs" dxfId="3506" priority="6530" operator="greaterThan">
      <formula>70</formula>
    </cfRule>
  </conditionalFormatting>
  <conditionalFormatting sqref="T87">
    <cfRule type="cellIs" dxfId="3505" priority="6531" operator="lessThan">
      <formula>0</formula>
    </cfRule>
  </conditionalFormatting>
  <conditionalFormatting sqref="T87">
    <cfRule type="cellIs" dxfId="3504" priority="6532" operator="greaterThan">
      <formula>30</formula>
    </cfRule>
  </conditionalFormatting>
  <conditionalFormatting sqref="C88">
    <cfRule type="cellIs" dxfId="3503" priority="6533" operator="lessThan">
      <formula>0</formula>
    </cfRule>
  </conditionalFormatting>
  <conditionalFormatting sqref="C88">
    <cfRule type="cellIs" dxfId="3502" priority="6534" operator="greaterThan">
      <formula>100</formula>
    </cfRule>
  </conditionalFormatting>
  <conditionalFormatting sqref="F88">
    <cfRule type="cellIs" dxfId="3501" priority="6535" operator="lessThan">
      <formula>0</formula>
    </cfRule>
  </conditionalFormatting>
  <conditionalFormatting sqref="F88">
    <cfRule type="cellIs" dxfId="3500" priority="6536" operator="greaterThan">
      <formula>70</formula>
    </cfRule>
  </conditionalFormatting>
  <conditionalFormatting sqref="G88">
    <cfRule type="cellIs" dxfId="3499" priority="6537" operator="lessThan">
      <formula>0</formula>
    </cfRule>
  </conditionalFormatting>
  <conditionalFormatting sqref="G88">
    <cfRule type="cellIs" dxfId="3498" priority="6538" operator="greaterThan">
      <formula>70</formula>
    </cfRule>
  </conditionalFormatting>
  <conditionalFormatting sqref="H88">
    <cfRule type="cellIs" dxfId="3497" priority="6539" operator="lessThan">
      <formula>0</formula>
    </cfRule>
  </conditionalFormatting>
  <conditionalFormatting sqref="H88">
    <cfRule type="cellIs" dxfId="3496" priority="6540" operator="greaterThan">
      <formula>70</formula>
    </cfRule>
  </conditionalFormatting>
  <conditionalFormatting sqref="I88">
    <cfRule type="cellIs" dxfId="3495" priority="6541" operator="lessThan">
      <formula>0</formula>
    </cfRule>
  </conditionalFormatting>
  <conditionalFormatting sqref="I88">
    <cfRule type="cellIs" dxfId="3494" priority="6542" operator="greaterThan">
      <formula>70</formula>
    </cfRule>
  </conditionalFormatting>
  <conditionalFormatting sqref="J88">
    <cfRule type="cellIs" dxfId="3493" priority="6543" operator="lessThan">
      <formula>0</formula>
    </cfRule>
  </conditionalFormatting>
  <conditionalFormatting sqref="J88">
    <cfRule type="cellIs" dxfId="3492" priority="6544" operator="greaterThan">
      <formula>70</formula>
    </cfRule>
  </conditionalFormatting>
  <conditionalFormatting sqref="K88">
    <cfRule type="cellIs" dxfId="3491" priority="6545" operator="lessThan">
      <formula>0</formula>
    </cfRule>
  </conditionalFormatting>
  <conditionalFormatting sqref="K88">
    <cfRule type="cellIs" dxfId="3490" priority="6546" operator="greaterThan">
      <formula>70</formula>
    </cfRule>
  </conditionalFormatting>
  <conditionalFormatting sqref="S88">
    <cfRule type="cellIs" dxfId="3489" priority="6547" operator="lessThan">
      <formula>0</formula>
    </cfRule>
  </conditionalFormatting>
  <conditionalFormatting sqref="S88">
    <cfRule type="cellIs" dxfId="3488" priority="6548" operator="greaterThan">
      <formula>70</formula>
    </cfRule>
  </conditionalFormatting>
  <conditionalFormatting sqref="T88">
    <cfRule type="cellIs" dxfId="3487" priority="6549" operator="lessThan">
      <formula>0</formula>
    </cfRule>
  </conditionalFormatting>
  <conditionalFormatting sqref="T88">
    <cfRule type="cellIs" dxfId="3486" priority="6550" operator="greaterThan">
      <formula>30</formula>
    </cfRule>
  </conditionalFormatting>
  <conditionalFormatting sqref="C89">
    <cfRule type="cellIs" dxfId="3485" priority="6551" operator="lessThan">
      <formula>0</formula>
    </cfRule>
  </conditionalFormatting>
  <conditionalFormatting sqref="C89">
    <cfRule type="cellIs" dxfId="3484" priority="6552" operator="greaterThan">
      <formula>100</formula>
    </cfRule>
  </conditionalFormatting>
  <conditionalFormatting sqref="F89">
    <cfRule type="cellIs" dxfId="3483" priority="6553" operator="lessThan">
      <formula>0</formula>
    </cfRule>
  </conditionalFormatting>
  <conditionalFormatting sqref="F89">
    <cfRule type="cellIs" dxfId="3482" priority="6554" operator="greaterThan">
      <formula>70</formula>
    </cfRule>
  </conditionalFormatting>
  <conditionalFormatting sqref="G89">
    <cfRule type="cellIs" dxfId="3481" priority="6555" operator="lessThan">
      <formula>0</formula>
    </cfRule>
  </conditionalFormatting>
  <conditionalFormatting sqref="G89">
    <cfRule type="cellIs" dxfId="3480" priority="6556" operator="greaterThan">
      <formula>70</formula>
    </cfRule>
  </conditionalFormatting>
  <conditionalFormatting sqref="H89">
    <cfRule type="cellIs" dxfId="3479" priority="6557" operator="lessThan">
      <formula>0</formula>
    </cfRule>
  </conditionalFormatting>
  <conditionalFormatting sqref="H89">
    <cfRule type="cellIs" dxfId="3478" priority="6558" operator="greaterThan">
      <formula>70</formula>
    </cfRule>
  </conditionalFormatting>
  <conditionalFormatting sqref="I89">
    <cfRule type="cellIs" dxfId="3477" priority="6559" operator="lessThan">
      <formula>0</formula>
    </cfRule>
  </conditionalFormatting>
  <conditionalFormatting sqref="I89">
    <cfRule type="cellIs" dxfId="3476" priority="6560" operator="greaterThan">
      <formula>70</formula>
    </cfRule>
  </conditionalFormatting>
  <conditionalFormatting sqref="J89">
    <cfRule type="cellIs" dxfId="3475" priority="6561" operator="lessThan">
      <formula>0</formula>
    </cfRule>
  </conditionalFormatting>
  <conditionalFormatting sqref="J89">
    <cfRule type="cellIs" dxfId="3474" priority="6562" operator="greaterThan">
      <formula>70</formula>
    </cfRule>
  </conditionalFormatting>
  <conditionalFormatting sqref="K89">
    <cfRule type="cellIs" dxfId="3473" priority="6563" operator="lessThan">
      <formula>0</formula>
    </cfRule>
  </conditionalFormatting>
  <conditionalFormatting sqref="K89">
    <cfRule type="cellIs" dxfId="3472" priority="6564" operator="greaterThan">
      <formula>70</formula>
    </cfRule>
  </conditionalFormatting>
  <conditionalFormatting sqref="S89">
    <cfRule type="cellIs" dxfId="3471" priority="6565" operator="lessThan">
      <formula>0</formula>
    </cfRule>
  </conditionalFormatting>
  <conditionalFormatting sqref="S89">
    <cfRule type="cellIs" dxfId="3470" priority="6566" operator="greaterThan">
      <formula>70</formula>
    </cfRule>
  </conditionalFormatting>
  <conditionalFormatting sqref="T89">
    <cfRule type="cellIs" dxfId="3469" priority="6567" operator="lessThan">
      <formula>0</formula>
    </cfRule>
  </conditionalFormatting>
  <conditionalFormatting sqref="T89">
    <cfRule type="cellIs" dxfId="3468" priority="6568" operator="greaterThan">
      <formula>30</formula>
    </cfRule>
  </conditionalFormatting>
  <conditionalFormatting sqref="C90">
    <cfRule type="cellIs" dxfId="3467" priority="6569" operator="lessThan">
      <formula>0</formula>
    </cfRule>
  </conditionalFormatting>
  <conditionalFormatting sqref="C90">
    <cfRule type="cellIs" dxfId="3466" priority="6570" operator="greaterThan">
      <formula>100</formula>
    </cfRule>
  </conditionalFormatting>
  <conditionalFormatting sqref="F90">
    <cfRule type="cellIs" dxfId="3465" priority="6571" operator="lessThan">
      <formula>0</formula>
    </cfRule>
  </conditionalFormatting>
  <conditionalFormatting sqref="F90">
    <cfRule type="cellIs" dxfId="3464" priority="6572" operator="greaterThan">
      <formula>70</formula>
    </cfRule>
  </conditionalFormatting>
  <conditionalFormatting sqref="G90">
    <cfRule type="cellIs" dxfId="3463" priority="6573" operator="lessThan">
      <formula>0</formula>
    </cfRule>
  </conditionalFormatting>
  <conditionalFormatting sqref="G90">
    <cfRule type="cellIs" dxfId="3462" priority="6574" operator="greaterThan">
      <formula>70</formula>
    </cfRule>
  </conditionalFormatting>
  <conditionalFormatting sqref="H90">
    <cfRule type="cellIs" dxfId="3461" priority="6575" operator="lessThan">
      <formula>0</formula>
    </cfRule>
  </conditionalFormatting>
  <conditionalFormatting sqref="H90">
    <cfRule type="cellIs" dxfId="3460" priority="6576" operator="greaterThan">
      <formula>70</formula>
    </cfRule>
  </conditionalFormatting>
  <conditionalFormatting sqref="I90">
    <cfRule type="cellIs" dxfId="3459" priority="6577" operator="lessThan">
      <formula>0</formula>
    </cfRule>
  </conditionalFormatting>
  <conditionalFormatting sqref="I90">
    <cfRule type="cellIs" dxfId="3458" priority="6578" operator="greaterThan">
      <formula>70</formula>
    </cfRule>
  </conditionalFormatting>
  <conditionalFormatting sqref="J90">
    <cfRule type="cellIs" dxfId="3457" priority="6579" operator="lessThan">
      <formula>0</formula>
    </cfRule>
  </conditionalFormatting>
  <conditionalFormatting sqref="J90">
    <cfRule type="cellIs" dxfId="3456" priority="6580" operator="greaterThan">
      <formula>70</formula>
    </cfRule>
  </conditionalFormatting>
  <conditionalFormatting sqref="K90">
    <cfRule type="cellIs" dxfId="3455" priority="6581" operator="lessThan">
      <formula>0</formula>
    </cfRule>
  </conditionalFormatting>
  <conditionalFormatting sqref="K90">
    <cfRule type="cellIs" dxfId="3454" priority="6582" operator="greaterThan">
      <formula>70</formula>
    </cfRule>
  </conditionalFormatting>
  <conditionalFormatting sqref="S90">
    <cfRule type="cellIs" dxfId="3453" priority="6583" operator="lessThan">
      <formula>0</formula>
    </cfRule>
  </conditionalFormatting>
  <conditionalFormatting sqref="S90">
    <cfRule type="cellIs" dxfId="3452" priority="6584" operator="greaterThan">
      <formula>70</formula>
    </cfRule>
  </conditionalFormatting>
  <conditionalFormatting sqref="T90">
    <cfRule type="cellIs" dxfId="3451" priority="6585" operator="lessThan">
      <formula>0</formula>
    </cfRule>
  </conditionalFormatting>
  <conditionalFormatting sqref="T90">
    <cfRule type="cellIs" dxfId="3450" priority="6586" operator="greaterThan">
      <formula>30</formula>
    </cfRule>
  </conditionalFormatting>
  <conditionalFormatting sqref="C91">
    <cfRule type="cellIs" dxfId="3449" priority="6587" operator="lessThan">
      <formula>0</formula>
    </cfRule>
  </conditionalFormatting>
  <conditionalFormatting sqref="C91">
    <cfRule type="cellIs" dxfId="3448" priority="6588" operator="greaterThan">
      <formula>100</formula>
    </cfRule>
  </conditionalFormatting>
  <conditionalFormatting sqref="F91">
    <cfRule type="cellIs" dxfId="3447" priority="6589" operator="lessThan">
      <formula>0</formula>
    </cfRule>
  </conditionalFormatting>
  <conditionalFormatting sqref="F91">
    <cfRule type="cellIs" dxfId="3446" priority="6590" operator="greaterThan">
      <formula>70</formula>
    </cfRule>
  </conditionalFormatting>
  <conditionalFormatting sqref="G91">
    <cfRule type="cellIs" dxfId="3445" priority="6591" operator="lessThan">
      <formula>0</formula>
    </cfRule>
  </conditionalFormatting>
  <conditionalFormatting sqref="G91">
    <cfRule type="cellIs" dxfId="3444" priority="6592" operator="greaterThan">
      <formula>70</formula>
    </cfRule>
  </conditionalFormatting>
  <conditionalFormatting sqref="H91">
    <cfRule type="cellIs" dxfId="3443" priority="6593" operator="lessThan">
      <formula>0</formula>
    </cfRule>
  </conditionalFormatting>
  <conditionalFormatting sqref="H91">
    <cfRule type="cellIs" dxfId="3442" priority="6594" operator="greaterThan">
      <formula>70</formula>
    </cfRule>
  </conditionalFormatting>
  <conditionalFormatting sqref="I91">
    <cfRule type="cellIs" dxfId="3441" priority="6595" operator="lessThan">
      <formula>0</formula>
    </cfRule>
  </conditionalFormatting>
  <conditionalFormatting sqref="I91">
    <cfRule type="cellIs" dxfId="3440" priority="6596" operator="greaterThan">
      <formula>70</formula>
    </cfRule>
  </conditionalFormatting>
  <conditionalFormatting sqref="J91">
    <cfRule type="cellIs" dxfId="3439" priority="6597" operator="lessThan">
      <formula>0</formula>
    </cfRule>
  </conditionalFormatting>
  <conditionalFormatting sqref="J91">
    <cfRule type="cellIs" dxfId="3438" priority="6598" operator="greaterThan">
      <formula>70</formula>
    </cfRule>
  </conditionalFormatting>
  <conditionalFormatting sqref="K91">
    <cfRule type="cellIs" dxfId="3437" priority="6599" operator="lessThan">
      <formula>0</formula>
    </cfRule>
  </conditionalFormatting>
  <conditionalFormatting sqref="K91">
    <cfRule type="cellIs" dxfId="3436" priority="6600" operator="greaterThan">
      <formula>70</formula>
    </cfRule>
  </conditionalFormatting>
  <conditionalFormatting sqref="S91">
    <cfRule type="cellIs" dxfId="3435" priority="6601" operator="lessThan">
      <formula>0</formula>
    </cfRule>
  </conditionalFormatting>
  <conditionalFormatting sqref="S91">
    <cfRule type="cellIs" dxfId="3434" priority="6602" operator="greaterThan">
      <formula>70</formula>
    </cfRule>
  </conditionalFormatting>
  <conditionalFormatting sqref="T91">
    <cfRule type="cellIs" dxfId="3433" priority="6603" operator="lessThan">
      <formula>0</formula>
    </cfRule>
  </conditionalFormatting>
  <conditionalFormatting sqref="T91">
    <cfRule type="cellIs" dxfId="3432" priority="6604" operator="greaterThan">
      <formula>30</formula>
    </cfRule>
  </conditionalFormatting>
  <conditionalFormatting sqref="C92">
    <cfRule type="cellIs" dxfId="3431" priority="6605" operator="lessThan">
      <formula>0</formula>
    </cfRule>
  </conditionalFormatting>
  <conditionalFormatting sqref="C92">
    <cfRule type="cellIs" dxfId="3430" priority="6606" operator="greaterThan">
      <formula>100</formula>
    </cfRule>
  </conditionalFormatting>
  <conditionalFormatting sqref="F92">
    <cfRule type="cellIs" dxfId="3429" priority="6607" operator="lessThan">
      <formula>0</formula>
    </cfRule>
  </conditionalFormatting>
  <conditionalFormatting sqref="F92">
    <cfRule type="cellIs" dxfId="3428" priority="6608" operator="greaterThan">
      <formula>70</formula>
    </cfRule>
  </conditionalFormatting>
  <conditionalFormatting sqref="G92">
    <cfRule type="cellIs" dxfId="3427" priority="6609" operator="lessThan">
      <formula>0</formula>
    </cfRule>
  </conditionalFormatting>
  <conditionalFormatting sqref="G92">
    <cfRule type="cellIs" dxfId="3426" priority="6610" operator="greaterThan">
      <formula>70</formula>
    </cfRule>
  </conditionalFormatting>
  <conditionalFormatting sqref="H92">
    <cfRule type="cellIs" dxfId="3425" priority="6611" operator="lessThan">
      <formula>0</formula>
    </cfRule>
  </conditionalFormatting>
  <conditionalFormatting sqref="H92">
    <cfRule type="cellIs" dxfId="3424" priority="6612" operator="greaterThan">
      <formula>70</formula>
    </cfRule>
  </conditionalFormatting>
  <conditionalFormatting sqref="I92">
    <cfRule type="cellIs" dxfId="3423" priority="6613" operator="lessThan">
      <formula>0</formula>
    </cfRule>
  </conditionalFormatting>
  <conditionalFormatting sqref="I92">
    <cfRule type="cellIs" dxfId="3422" priority="6614" operator="greaterThan">
      <formula>70</formula>
    </cfRule>
  </conditionalFormatting>
  <conditionalFormatting sqref="J92">
    <cfRule type="cellIs" dxfId="3421" priority="6615" operator="lessThan">
      <formula>0</formula>
    </cfRule>
  </conditionalFormatting>
  <conditionalFormatting sqref="J92">
    <cfRule type="cellIs" dxfId="3420" priority="6616" operator="greaterThan">
      <formula>70</formula>
    </cfRule>
  </conditionalFormatting>
  <conditionalFormatting sqref="K92">
    <cfRule type="cellIs" dxfId="3419" priority="6617" operator="lessThan">
      <formula>0</formula>
    </cfRule>
  </conditionalFormatting>
  <conditionalFormatting sqref="K92">
    <cfRule type="cellIs" dxfId="3418" priority="6618" operator="greaterThan">
      <formula>70</formula>
    </cfRule>
  </conditionalFormatting>
  <conditionalFormatting sqref="S92">
    <cfRule type="cellIs" dxfId="3417" priority="6619" operator="lessThan">
      <formula>0</formula>
    </cfRule>
  </conditionalFormatting>
  <conditionalFormatting sqref="S92">
    <cfRule type="cellIs" dxfId="3416" priority="6620" operator="greaterThan">
      <formula>70</formula>
    </cfRule>
  </conditionalFormatting>
  <conditionalFormatting sqref="T92">
    <cfRule type="cellIs" dxfId="3415" priority="6621" operator="lessThan">
      <formula>0</formula>
    </cfRule>
  </conditionalFormatting>
  <conditionalFormatting sqref="T92">
    <cfRule type="cellIs" dxfId="3414" priority="6622" operator="greaterThan">
      <formula>30</formula>
    </cfRule>
  </conditionalFormatting>
  <conditionalFormatting sqref="C93">
    <cfRule type="cellIs" dxfId="3413" priority="6623" operator="lessThan">
      <formula>0</formula>
    </cfRule>
  </conditionalFormatting>
  <conditionalFormatting sqref="C93">
    <cfRule type="cellIs" dxfId="3412" priority="6624" operator="greaterThan">
      <formula>100</formula>
    </cfRule>
  </conditionalFormatting>
  <conditionalFormatting sqref="F93">
    <cfRule type="cellIs" dxfId="3411" priority="6625" operator="lessThan">
      <formula>0</formula>
    </cfRule>
  </conditionalFormatting>
  <conditionalFormatting sqref="F93">
    <cfRule type="cellIs" dxfId="3410" priority="6626" operator="greaterThan">
      <formula>70</formula>
    </cfRule>
  </conditionalFormatting>
  <conditionalFormatting sqref="G93">
    <cfRule type="cellIs" dxfId="3409" priority="6627" operator="lessThan">
      <formula>0</formula>
    </cfRule>
  </conditionalFormatting>
  <conditionalFormatting sqref="G93">
    <cfRule type="cellIs" dxfId="3408" priority="6628" operator="greaterThan">
      <formula>70</formula>
    </cfRule>
  </conditionalFormatting>
  <conditionalFormatting sqref="H93">
    <cfRule type="cellIs" dxfId="3407" priority="6629" operator="lessThan">
      <formula>0</formula>
    </cfRule>
  </conditionalFormatting>
  <conditionalFormatting sqref="H93">
    <cfRule type="cellIs" dxfId="3406" priority="6630" operator="greaterThan">
      <formula>70</formula>
    </cfRule>
  </conditionalFormatting>
  <conditionalFormatting sqref="I93">
    <cfRule type="cellIs" dxfId="3405" priority="6631" operator="lessThan">
      <formula>0</formula>
    </cfRule>
  </conditionalFormatting>
  <conditionalFormatting sqref="I93">
    <cfRule type="cellIs" dxfId="3404" priority="6632" operator="greaterThan">
      <formula>70</formula>
    </cfRule>
  </conditionalFormatting>
  <conditionalFormatting sqref="J93">
    <cfRule type="cellIs" dxfId="3403" priority="6633" operator="lessThan">
      <formula>0</formula>
    </cfRule>
  </conditionalFormatting>
  <conditionalFormatting sqref="J93">
    <cfRule type="cellIs" dxfId="3402" priority="6634" operator="greaterThan">
      <formula>70</formula>
    </cfRule>
  </conditionalFormatting>
  <conditionalFormatting sqref="K93">
    <cfRule type="cellIs" dxfId="3401" priority="6635" operator="lessThan">
      <formula>0</formula>
    </cfRule>
  </conditionalFormatting>
  <conditionalFormatting sqref="K93">
    <cfRule type="cellIs" dxfId="3400" priority="6636" operator="greaterThan">
      <formula>70</formula>
    </cfRule>
  </conditionalFormatting>
  <conditionalFormatting sqref="S93">
    <cfRule type="cellIs" dxfId="3399" priority="6637" operator="lessThan">
      <formula>0</formula>
    </cfRule>
  </conditionalFormatting>
  <conditionalFormatting sqref="S93">
    <cfRule type="cellIs" dxfId="3398" priority="6638" operator="greaterThan">
      <formula>70</formula>
    </cfRule>
  </conditionalFormatting>
  <conditionalFormatting sqref="T93">
    <cfRule type="cellIs" dxfId="3397" priority="6639" operator="lessThan">
      <formula>0</formula>
    </cfRule>
  </conditionalFormatting>
  <conditionalFormatting sqref="T93">
    <cfRule type="cellIs" dxfId="3396" priority="6640" operator="greaterThan">
      <formula>30</formula>
    </cfRule>
  </conditionalFormatting>
  <conditionalFormatting sqref="C94">
    <cfRule type="cellIs" dxfId="3395" priority="6641" operator="lessThan">
      <formula>0</formula>
    </cfRule>
  </conditionalFormatting>
  <conditionalFormatting sqref="C94">
    <cfRule type="cellIs" dxfId="3394" priority="6642" operator="greaterThan">
      <formula>100</formula>
    </cfRule>
  </conditionalFormatting>
  <conditionalFormatting sqref="F94">
    <cfRule type="cellIs" dxfId="3393" priority="6643" operator="lessThan">
      <formula>0</formula>
    </cfRule>
  </conditionalFormatting>
  <conditionalFormatting sqref="F94">
    <cfRule type="cellIs" dxfId="3392" priority="6644" operator="greaterThan">
      <formula>70</formula>
    </cfRule>
  </conditionalFormatting>
  <conditionalFormatting sqref="G94">
    <cfRule type="cellIs" dxfId="3391" priority="6645" operator="lessThan">
      <formula>0</formula>
    </cfRule>
  </conditionalFormatting>
  <conditionalFormatting sqref="G94">
    <cfRule type="cellIs" dxfId="3390" priority="6646" operator="greaterThan">
      <formula>70</formula>
    </cfRule>
  </conditionalFormatting>
  <conditionalFormatting sqref="H94">
    <cfRule type="cellIs" dxfId="3389" priority="6647" operator="lessThan">
      <formula>0</formula>
    </cfRule>
  </conditionalFormatting>
  <conditionalFormatting sqref="H94">
    <cfRule type="cellIs" dxfId="3388" priority="6648" operator="greaterThan">
      <formula>70</formula>
    </cfRule>
  </conditionalFormatting>
  <conditionalFormatting sqref="I94">
    <cfRule type="cellIs" dxfId="3387" priority="6649" operator="lessThan">
      <formula>0</formula>
    </cfRule>
  </conditionalFormatting>
  <conditionalFormatting sqref="I94">
    <cfRule type="cellIs" dxfId="3386" priority="6650" operator="greaterThan">
      <formula>70</formula>
    </cfRule>
  </conditionalFormatting>
  <conditionalFormatting sqref="J94">
    <cfRule type="cellIs" dxfId="3385" priority="6651" operator="lessThan">
      <formula>0</formula>
    </cfRule>
  </conditionalFormatting>
  <conditionalFormatting sqref="J94">
    <cfRule type="cellIs" dxfId="3384" priority="6652" operator="greaterThan">
      <formula>70</formula>
    </cfRule>
  </conditionalFormatting>
  <conditionalFormatting sqref="K94">
    <cfRule type="cellIs" dxfId="3383" priority="6653" operator="lessThan">
      <formula>0</formula>
    </cfRule>
  </conditionalFormatting>
  <conditionalFormatting sqref="K94">
    <cfRule type="cellIs" dxfId="3382" priority="6654" operator="greaterThan">
      <formula>70</formula>
    </cfRule>
  </conditionalFormatting>
  <conditionalFormatting sqref="S94">
    <cfRule type="cellIs" dxfId="3381" priority="6655" operator="lessThan">
      <formula>0</formula>
    </cfRule>
  </conditionalFormatting>
  <conditionalFormatting sqref="S94">
    <cfRule type="cellIs" dxfId="3380" priority="6656" operator="greaterThan">
      <formula>70</formula>
    </cfRule>
  </conditionalFormatting>
  <conditionalFormatting sqref="T94">
    <cfRule type="cellIs" dxfId="3379" priority="6657" operator="lessThan">
      <formula>0</formula>
    </cfRule>
  </conditionalFormatting>
  <conditionalFormatting sqref="T94">
    <cfRule type="cellIs" dxfId="3378" priority="6658" operator="greaterThan">
      <formula>30</formula>
    </cfRule>
  </conditionalFormatting>
  <conditionalFormatting sqref="C95">
    <cfRule type="cellIs" dxfId="3377" priority="6659" operator="lessThan">
      <formula>0</formula>
    </cfRule>
  </conditionalFormatting>
  <conditionalFormatting sqref="C95">
    <cfRule type="cellIs" dxfId="3376" priority="6660" operator="greaterThan">
      <formula>100</formula>
    </cfRule>
  </conditionalFormatting>
  <conditionalFormatting sqref="F95">
    <cfRule type="cellIs" dxfId="3375" priority="6661" operator="lessThan">
      <formula>0</formula>
    </cfRule>
  </conditionalFormatting>
  <conditionalFormatting sqref="F95">
    <cfRule type="cellIs" dxfId="3374" priority="6662" operator="greaterThan">
      <formula>70</formula>
    </cfRule>
  </conditionalFormatting>
  <conditionalFormatting sqref="G95">
    <cfRule type="cellIs" dxfId="3373" priority="6663" operator="lessThan">
      <formula>0</formula>
    </cfRule>
  </conditionalFormatting>
  <conditionalFormatting sqref="G95">
    <cfRule type="cellIs" dxfId="3372" priority="6664" operator="greaterThan">
      <formula>70</formula>
    </cfRule>
  </conditionalFormatting>
  <conditionalFormatting sqref="H95">
    <cfRule type="cellIs" dxfId="3371" priority="6665" operator="lessThan">
      <formula>0</formula>
    </cfRule>
  </conditionalFormatting>
  <conditionalFormatting sqref="H95">
    <cfRule type="cellIs" dxfId="3370" priority="6666" operator="greaterThan">
      <formula>70</formula>
    </cfRule>
  </conditionalFormatting>
  <conditionalFormatting sqref="I95">
    <cfRule type="cellIs" dxfId="3369" priority="6667" operator="lessThan">
      <formula>0</formula>
    </cfRule>
  </conditionalFormatting>
  <conditionalFormatting sqref="I95">
    <cfRule type="cellIs" dxfId="3368" priority="6668" operator="greaterThan">
      <formula>70</formula>
    </cfRule>
  </conditionalFormatting>
  <conditionalFormatting sqref="J95">
    <cfRule type="cellIs" dxfId="3367" priority="6669" operator="lessThan">
      <formula>0</formula>
    </cfRule>
  </conditionalFormatting>
  <conditionalFormatting sqref="J95">
    <cfRule type="cellIs" dxfId="3366" priority="6670" operator="greaterThan">
      <formula>70</formula>
    </cfRule>
  </conditionalFormatting>
  <conditionalFormatting sqref="K95">
    <cfRule type="cellIs" dxfId="3365" priority="6671" operator="lessThan">
      <formula>0</formula>
    </cfRule>
  </conditionalFormatting>
  <conditionalFormatting sqref="K95">
    <cfRule type="cellIs" dxfId="3364" priority="6672" operator="greaterThan">
      <formula>70</formula>
    </cfRule>
  </conditionalFormatting>
  <conditionalFormatting sqref="S95">
    <cfRule type="cellIs" dxfId="3363" priority="6673" operator="lessThan">
      <formula>0</formula>
    </cfRule>
  </conditionalFormatting>
  <conditionalFormatting sqref="S95">
    <cfRule type="cellIs" dxfId="3362" priority="6674" operator="greaterThan">
      <formula>70</formula>
    </cfRule>
  </conditionalFormatting>
  <conditionalFormatting sqref="T95">
    <cfRule type="cellIs" dxfId="3361" priority="6675" operator="lessThan">
      <formula>0</formula>
    </cfRule>
  </conditionalFormatting>
  <conditionalFormatting sqref="T95">
    <cfRule type="cellIs" dxfId="3360" priority="6676" operator="greaterThan">
      <formula>30</formula>
    </cfRule>
  </conditionalFormatting>
  <conditionalFormatting sqref="C96">
    <cfRule type="cellIs" dxfId="3359" priority="6677" operator="lessThan">
      <formula>0</formula>
    </cfRule>
  </conditionalFormatting>
  <conditionalFormatting sqref="C96">
    <cfRule type="cellIs" dxfId="3358" priority="6678" operator="greaterThan">
      <formula>100</formula>
    </cfRule>
  </conditionalFormatting>
  <conditionalFormatting sqref="F96">
    <cfRule type="cellIs" dxfId="3357" priority="6679" operator="lessThan">
      <formula>0</formula>
    </cfRule>
  </conditionalFormatting>
  <conditionalFormatting sqref="F96">
    <cfRule type="cellIs" dxfId="3356" priority="6680" operator="greaterThan">
      <formula>70</formula>
    </cfRule>
  </conditionalFormatting>
  <conditionalFormatting sqref="G96">
    <cfRule type="cellIs" dxfId="3355" priority="6681" operator="lessThan">
      <formula>0</formula>
    </cfRule>
  </conditionalFormatting>
  <conditionalFormatting sqref="G96">
    <cfRule type="cellIs" dxfId="3354" priority="6682" operator="greaterThan">
      <formula>70</formula>
    </cfRule>
  </conditionalFormatting>
  <conditionalFormatting sqref="H96">
    <cfRule type="cellIs" dxfId="3353" priority="6683" operator="lessThan">
      <formula>0</formula>
    </cfRule>
  </conditionalFormatting>
  <conditionalFormatting sqref="H96">
    <cfRule type="cellIs" dxfId="3352" priority="6684" operator="greaterThan">
      <formula>70</formula>
    </cfRule>
  </conditionalFormatting>
  <conditionalFormatting sqref="I96">
    <cfRule type="cellIs" dxfId="3351" priority="6685" operator="lessThan">
      <formula>0</formula>
    </cfRule>
  </conditionalFormatting>
  <conditionalFormatting sqref="I96">
    <cfRule type="cellIs" dxfId="3350" priority="6686" operator="greaterThan">
      <formula>70</formula>
    </cfRule>
  </conditionalFormatting>
  <conditionalFormatting sqref="J96">
    <cfRule type="cellIs" dxfId="3349" priority="6687" operator="lessThan">
      <formula>0</formula>
    </cfRule>
  </conditionalFormatting>
  <conditionalFormatting sqref="J96">
    <cfRule type="cellIs" dxfId="3348" priority="6688" operator="greaterThan">
      <formula>70</formula>
    </cfRule>
  </conditionalFormatting>
  <conditionalFormatting sqref="K96">
    <cfRule type="cellIs" dxfId="3347" priority="6689" operator="lessThan">
      <formula>0</formula>
    </cfRule>
  </conditionalFormatting>
  <conditionalFormatting sqref="K96">
    <cfRule type="cellIs" dxfId="3346" priority="6690" operator="greaterThan">
      <formula>70</formula>
    </cfRule>
  </conditionalFormatting>
  <conditionalFormatting sqref="S96">
    <cfRule type="cellIs" dxfId="3345" priority="6691" operator="lessThan">
      <formula>0</formula>
    </cfRule>
  </conditionalFormatting>
  <conditionalFormatting sqref="S96">
    <cfRule type="cellIs" dxfId="3344" priority="6692" operator="greaterThan">
      <formula>70</formula>
    </cfRule>
  </conditionalFormatting>
  <conditionalFormatting sqref="T96">
    <cfRule type="cellIs" dxfId="3343" priority="6693" operator="lessThan">
      <formula>0</formula>
    </cfRule>
  </conditionalFormatting>
  <conditionalFormatting sqref="T96">
    <cfRule type="cellIs" dxfId="3342" priority="6694" operator="greaterThan">
      <formula>30</formula>
    </cfRule>
  </conditionalFormatting>
  <conditionalFormatting sqref="C97">
    <cfRule type="cellIs" dxfId="3341" priority="6695" operator="lessThan">
      <formula>0</formula>
    </cfRule>
  </conditionalFormatting>
  <conditionalFormatting sqref="C97">
    <cfRule type="cellIs" dxfId="3340" priority="6696" operator="greaterThan">
      <formula>100</formula>
    </cfRule>
  </conditionalFormatting>
  <conditionalFormatting sqref="F97">
    <cfRule type="cellIs" dxfId="3339" priority="6697" operator="lessThan">
      <formula>0</formula>
    </cfRule>
  </conditionalFormatting>
  <conditionalFormatting sqref="F97">
    <cfRule type="cellIs" dxfId="3338" priority="6698" operator="greaterThan">
      <formula>70</formula>
    </cfRule>
  </conditionalFormatting>
  <conditionalFormatting sqref="G97">
    <cfRule type="cellIs" dxfId="3337" priority="6699" operator="lessThan">
      <formula>0</formula>
    </cfRule>
  </conditionalFormatting>
  <conditionalFormatting sqref="G97">
    <cfRule type="cellIs" dxfId="3336" priority="6700" operator="greaterThan">
      <formula>70</formula>
    </cfRule>
  </conditionalFormatting>
  <conditionalFormatting sqref="H97">
    <cfRule type="cellIs" dxfId="3335" priority="6701" operator="lessThan">
      <formula>0</formula>
    </cfRule>
  </conditionalFormatting>
  <conditionalFormatting sqref="H97">
    <cfRule type="cellIs" dxfId="3334" priority="6702" operator="greaterThan">
      <formula>70</formula>
    </cfRule>
  </conditionalFormatting>
  <conditionalFormatting sqref="I97">
    <cfRule type="cellIs" dxfId="3333" priority="6703" operator="lessThan">
      <formula>0</formula>
    </cfRule>
  </conditionalFormatting>
  <conditionalFormatting sqref="I97">
    <cfRule type="cellIs" dxfId="3332" priority="6704" operator="greaterThan">
      <formula>70</formula>
    </cfRule>
  </conditionalFormatting>
  <conditionalFormatting sqref="J97">
    <cfRule type="cellIs" dxfId="3331" priority="6705" operator="lessThan">
      <formula>0</formula>
    </cfRule>
  </conditionalFormatting>
  <conditionalFormatting sqref="J97">
    <cfRule type="cellIs" dxfId="3330" priority="6706" operator="greaterThan">
      <formula>70</formula>
    </cfRule>
  </conditionalFormatting>
  <conditionalFormatting sqref="K97">
    <cfRule type="cellIs" dxfId="3329" priority="6707" operator="lessThan">
      <formula>0</formula>
    </cfRule>
  </conditionalFormatting>
  <conditionalFormatting sqref="K97">
    <cfRule type="cellIs" dxfId="3328" priority="6708" operator="greaterThan">
      <formula>70</formula>
    </cfRule>
  </conditionalFormatting>
  <conditionalFormatting sqref="S97">
    <cfRule type="cellIs" dxfId="3327" priority="6709" operator="lessThan">
      <formula>0</formula>
    </cfRule>
  </conditionalFormatting>
  <conditionalFormatting sqref="S97">
    <cfRule type="cellIs" dxfId="3326" priority="6710" operator="greaterThan">
      <formula>70</formula>
    </cfRule>
  </conditionalFormatting>
  <conditionalFormatting sqref="T97">
    <cfRule type="cellIs" dxfId="3325" priority="6711" operator="lessThan">
      <formula>0</formula>
    </cfRule>
  </conditionalFormatting>
  <conditionalFormatting sqref="T97">
    <cfRule type="cellIs" dxfId="3324" priority="6712" operator="greaterThan">
      <formula>30</formula>
    </cfRule>
  </conditionalFormatting>
  <conditionalFormatting sqref="C98">
    <cfRule type="cellIs" dxfId="3323" priority="6713" operator="lessThan">
      <formula>0</formula>
    </cfRule>
  </conditionalFormatting>
  <conditionalFormatting sqref="C98">
    <cfRule type="cellIs" dxfId="3322" priority="6714" operator="greaterThan">
      <formula>100</formula>
    </cfRule>
  </conditionalFormatting>
  <conditionalFormatting sqref="F98">
    <cfRule type="cellIs" dxfId="3321" priority="6715" operator="lessThan">
      <formula>0</formula>
    </cfRule>
  </conditionalFormatting>
  <conditionalFormatting sqref="F98">
    <cfRule type="cellIs" dxfId="3320" priority="6716" operator="greaterThan">
      <formula>70</formula>
    </cfRule>
  </conditionalFormatting>
  <conditionalFormatting sqref="G98">
    <cfRule type="cellIs" dxfId="3319" priority="6717" operator="lessThan">
      <formula>0</formula>
    </cfRule>
  </conditionalFormatting>
  <conditionalFormatting sqref="G98">
    <cfRule type="cellIs" dxfId="3318" priority="6718" operator="greaterThan">
      <formula>70</formula>
    </cfRule>
  </conditionalFormatting>
  <conditionalFormatting sqref="H98">
    <cfRule type="cellIs" dxfId="3317" priority="6719" operator="lessThan">
      <formula>0</formula>
    </cfRule>
  </conditionalFormatting>
  <conditionalFormatting sqref="H98">
    <cfRule type="cellIs" dxfId="3316" priority="6720" operator="greaterThan">
      <formula>70</formula>
    </cfRule>
  </conditionalFormatting>
  <conditionalFormatting sqref="I98">
    <cfRule type="cellIs" dxfId="3315" priority="6721" operator="lessThan">
      <formula>0</formula>
    </cfRule>
  </conditionalFormatting>
  <conditionalFormatting sqref="I98">
    <cfRule type="cellIs" dxfId="3314" priority="6722" operator="greaterThan">
      <formula>70</formula>
    </cfRule>
  </conditionalFormatting>
  <conditionalFormatting sqref="J98">
    <cfRule type="cellIs" dxfId="3313" priority="6723" operator="lessThan">
      <formula>0</formula>
    </cfRule>
  </conditionalFormatting>
  <conditionalFormatting sqref="J98">
    <cfRule type="cellIs" dxfId="3312" priority="6724" operator="greaterThan">
      <formula>70</formula>
    </cfRule>
  </conditionalFormatting>
  <conditionalFormatting sqref="K98">
    <cfRule type="cellIs" dxfId="3311" priority="6725" operator="lessThan">
      <formula>0</formula>
    </cfRule>
  </conditionalFormatting>
  <conditionalFormatting sqref="K98">
    <cfRule type="cellIs" dxfId="3310" priority="6726" operator="greaterThan">
      <formula>70</formula>
    </cfRule>
  </conditionalFormatting>
  <conditionalFormatting sqref="S98">
    <cfRule type="cellIs" dxfId="3309" priority="6727" operator="lessThan">
      <formula>0</formula>
    </cfRule>
  </conditionalFormatting>
  <conditionalFormatting sqref="S98">
    <cfRule type="cellIs" dxfId="3308" priority="6728" operator="greaterThan">
      <formula>70</formula>
    </cfRule>
  </conditionalFormatting>
  <conditionalFormatting sqref="T98">
    <cfRule type="cellIs" dxfId="3307" priority="6729" operator="lessThan">
      <formula>0</formula>
    </cfRule>
  </conditionalFormatting>
  <conditionalFormatting sqref="T98">
    <cfRule type="cellIs" dxfId="3306" priority="6730" operator="greaterThan">
      <formula>30</formula>
    </cfRule>
  </conditionalFormatting>
  <conditionalFormatting sqref="C99">
    <cfRule type="cellIs" dxfId="3305" priority="6731" operator="lessThan">
      <formula>0</formula>
    </cfRule>
  </conditionalFormatting>
  <conditionalFormatting sqref="C99">
    <cfRule type="cellIs" dxfId="3304" priority="6732" operator="greaterThan">
      <formula>100</formula>
    </cfRule>
  </conditionalFormatting>
  <conditionalFormatting sqref="F99">
    <cfRule type="cellIs" dxfId="3303" priority="6733" operator="lessThan">
      <formula>0</formula>
    </cfRule>
  </conditionalFormatting>
  <conditionalFormatting sqref="F99">
    <cfRule type="cellIs" dxfId="3302" priority="6734" operator="greaterThan">
      <formula>70</formula>
    </cfRule>
  </conditionalFormatting>
  <conditionalFormatting sqref="G99">
    <cfRule type="cellIs" dxfId="3301" priority="6735" operator="lessThan">
      <formula>0</formula>
    </cfRule>
  </conditionalFormatting>
  <conditionalFormatting sqref="G99">
    <cfRule type="cellIs" dxfId="3300" priority="6736" operator="greaterThan">
      <formula>70</formula>
    </cfRule>
  </conditionalFormatting>
  <conditionalFormatting sqref="H99">
    <cfRule type="cellIs" dxfId="3299" priority="6737" operator="lessThan">
      <formula>0</formula>
    </cfRule>
  </conditionalFormatting>
  <conditionalFormatting sqref="H99">
    <cfRule type="cellIs" dxfId="3298" priority="6738" operator="greaterThan">
      <formula>70</formula>
    </cfRule>
  </conditionalFormatting>
  <conditionalFormatting sqref="I99">
    <cfRule type="cellIs" dxfId="3297" priority="6739" operator="lessThan">
      <formula>0</formula>
    </cfRule>
  </conditionalFormatting>
  <conditionalFormatting sqref="I99">
    <cfRule type="cellIs" dxfId="3296" priority="6740" operator="greaterThan">
      <formula>70</formula>
    </cfRule>
  </conditionalFormatting>
  <conditionalFormatting sqref="J99">
    <cfRule type="cellIs" dxfId="3295" priority="6741" operator="lessThan">
      <formula>0</formula>
    </cfRule>
  </conditionalFormatting>
  <conditionalFormatting sqref="J99">
    <cfRule type="cellIs" dxfId="3294" priority="6742" operator="greaterThan">
      <formula>70</formula>
    </cfRule>
  </conditionalFormatting>
  <conditionalFormatting sqref="K99">
    <cfRule type="cellIs" dxfId="3293" priority="6743" operator="lessThan">
      <formula>0</formula>
    </cfRule>
  </conditionalFormatting>
  <conditionalFormatting sqref="K99">
    <cfRule type="cellIs" dxfId="3292" priority="6744" operator="greaterThan">
      <formula>70</formula>
    </cfRule>
  </conditionalFormatting>
  <conditionalFormatting sqref="S99">
    <cfRule type="cellIs" dxfId="3291" priority="6745" operator="lessThan">
      <formula>0</formula>
    </cfRule>
  </conditionalFormatting>
  <conditionalFormatting sqref="S99">
    <cfRule type="cellIs" dxfId="3290" priority="6746" operator="greaterThan">
      <formula>70</formula>
    </cfRule>
  </conditionalFormatting>
  <conditionalFormatting sqref="T99">
    <cfRule type="cellIs" dxfId="3289" priority="6747" operator="lessThan">
      <formula>0</formula>
    </cfRule>
  </conditionalFormatting>
  <conditionalFormatting sqref="T99">
    <cfRule type="cellIs" dxfId="3288" priority="6748" operator="greaterThan">
      <formula>30</formula>
    </cfRule>
  </conditionalFormatting>
  <conditionalFormatting sqref="C100">
    <cfRule type="cellIs" dxfId="3287" priority="6749" operator="lessThan">
      <formula>0</formula>
    </cfRule>
  </conditionalFormatting>
  <conditionalFormatting sqref="C100">
    <cfRule type="cellIs" dxfId="3286" priority="6750" operator="greaterThan">
      <formula>100</formula>
    </cfRule>
  </conditionalFormatting>
  <conditionalFormatting sqref="F100">
    <cfRule type="cellIs" dxfId="3285" priority="6751" operator="lessThan">
      <formula>0</formula>
    </cfRule>
  </conditionalFormatting>
  <conditionalFormatting sqref="F100">
    <cfRule type="cellIs" dxfId="3284" priority="6752" operator="greaterThan">
      <formula>70</formula>
    </cfRule>
  </conditionalFormatting>
  <conditionalFormatting sqref="G100">
    <cfRule type="cellIs" dxfId="3283" priority="6753" operator="lessThan">
      <formula>0</formula>
    </cfRule>
  </conditionalFormatting>
  <conditionalFormatting sqref="G100">
    <cfRule type="cellIs" dxfId="3282" priority="6754" operator="greaterThan">
      <formula>70</formula>
    </cfRule>
  </conditionalFormatting>
  <conditionalFormatting sqref="H100">
    <cfRule type="cellIs" dxfId="3281" priority="6755" operator="lessThan">
      <formula>0</formula>
    </cfRule>
  </conditionalFormatting>
  <conditionalFormatting sqref="H100">
    <cfRule type="cellIs" dxfId="3280" priority="6756" operator="greaterThan">
      <formula>70</formula>
    </cfRule>
  </conditionalFormatting>
  <conditionalFormatting sqref="I100">
    <cfRule type="cellIs" dxfId="3279" priority="6757" operator="lessThan">
      <formula>0</formula>
    </cfRule>
  </conditionalFormatting>
  <conditionalFormatting sqref="I100">
    <cfRule type="cellIs" dxfId="3278" priority="6758" operator="greaterThan">
      <formula>70</formula>
    </cfRule>
  </conditionalFormatting>
  <conditionalFormatting sqref="J100">
    <cfRule type="cellIs" dxfId="3277" priority="6759" operator="lessThan">
      <formula>0</formula>
    </cfRule>
  </conditionalFormatting>
  <conditionalFormatting sqref="J100">
    <cfRule type="cellIs" dxfId="3276" priority="6760" operator="greaterThan">
      <formula>70</formula>
    </cfRule>
  </conditionalFormatting>
  <conditionalFormatting sqref="K100">
    <cfRule type="cellIs" dxfId="3275" priority="6761" operator="lessThan">
      <formula>0</formula>
    </cfRule>
  </conditionalFormatting>
  <conditionalFormatting sqref="K100">
    <cfRule type="cellIs" dxfId="3274" priority="6762" operator="greaterThan">
      <formula>70</formula>
    </cfRule>
  </conditionalFormatting>
  <conditionalFormatting sqref="S100">
    <cfRule type="cellIs" dxfId="3273" priority="6763" operator="lessThan">
      <formula>0</formula>
    </cfRule>
  </conditionalFormatting>
  <conditionalFormatting sqref="S100">
    <cfRule type="cellIs" dxfId="3272" priority="6764" operator="greaterThan">
      <formula>70</formula>
    </cfRule>
  </conditionalFormatting>
  <conditionalFormatting sqref="T100">
    <cfRule type="cellIs" dxfId="3271" priority="6765" operator="lessThan">
      <formula>0</formula>
    </cfRule>
  </conditionalFormatting>
  <conditionalFormatting sqref="T100">
    <cfRule type="cellIs" dxfId="3270" priority="6766" operator="greaterThan">
      <formula>30</formula>
    </cfRule>
  </conditionalFormatting>
  <conditionalFormatting sqref="C101">
    <cfRule type="cellIs" dxfId="3269" priority="6767" operator="lessThan">
      <formula>0</formula>
    </cfRule>
  </conditionalFormatting>
  <conditionalFormatting sqref="C101">
    <cfRule type="cellIs" dxfId="3268" priority="6768" operator="greaterThan">
      <formula>100</formula>
    </cfRule>
  </conditionalFormatting>
  <conditionalFormatting sqref="F101">
    <cfRule type="cellIs" dxfId="3267" priority="6769" operator="lessThan">
      <formula>0</formula>
    </cfRule>
  </conditionalFormatting>
  <conditionalFormatting sqref="F101">
    <cfRule type="cellIs" dxfId="3266" priority="6770" operator="greaterThan">
      <formula>70</formula>
    </cfRule>
  </conditionalFormatting>
  <conditionalFormatting sqref="G101">
    <cfRule type="cellIs" dxfId="3265" priority="6771" operator="lessThan">
      <formula>0</formula>
    </cfRule>
  </conditionalFormatting>
  <conditionalFormatting sqref="G101">
    <cfRule type="cellIs" dxfId="3264" priority="6772" operator="greaterThan">
      <formula>70</formula>
    </cfRule>
  </conditionalFormatting>
  <conditionalFormatting sqref="H101">
    <cfRule type="cellIs" dxfId="3263" priority="6773" operator="lessThan">
      <formula>0</formula>
    </cfRule>
  </conditionalFormatting>
  <conditionalFormatting sqref="H101">
    <cfRule type="cellIs" dxfId="3262" priority="6774" operator="greaterThan">
      <formula>70</formula>
    </cfRule>
  </conditionalFormatting>
  <conditionalFormatting sqref="I101">
    <cfRule type="cellIs" dxfId="3261" priority="6775" operator="lessThan">
      <formula>0</formula>
    </cfRule>
  </conditionalFormatting>
  <conditionalFormatting sqref="I101">
    <cfRule type="cellIs" dxfId="3260" priority="6776" operator="greaterThan">
      <formula>70</formula>
    </cfRule>
  </conditionalFormatting>
  <conditionalFormatting sqref="J101">
    <cfRule type="cellIs" dxfId="3259" priority="6777" operator="lessThan">
      <formula>0</formula>
    </cfRule>
  </conditionalFormatting>
  <conditionalFormatting sqref="J101">
    <cfRule type="cellIs" dxfId="3258" priority="6778" operator="greaterThan">
      <formula>70</formula>
    </cfRule>
  </conditionalFormatting>
  <conditionalFormatting sqref="K101">
    <cfRule type="cellIs" dxfId="3257" priority="6779" operator="lessThan">
      <formula>0</formula>
    </cfRule>
  </conditionalFormatting>
  <conditionalFormatting sqref="K101">
    <cfRule type="cellIs" dxfId="3256" priority="6780" operator="greaterThan">
      <formula>70</formula>
    </cfRule>
  </conditionalFormatting>
  <conditionalFormatting sqref="S101">
    <cfRule type="cellIs" dxfId="3255" priority="6781" operator="lessThan">
      <formula>0</formula>
    </cfRule>
  </conditionalFormatting>
  <conditionalFormatting sqref="S101">
    <cfRule type="cellIs" dxfId="3254" priority="6782" operator="greaterThan">
      <formula>70</formula>
    </cfRule>
  </conditionalFormatting>
  <conditionalFormatting sqref="T101">
    <cfRule type="cellIs" dxfId="3253" priority="6783" operator="lessThan">
      <formula>0</formula>
    </cfRule>
  </conditionalFormatting>
  <conditionalFormatting sqref="T101">
    <cfRule type="cellIs" dxfId="3252" priority="6784" operator="greaterThan">
      <formula>30</formula>
    </cfRule>
  </conditionalFormatting>
  <conditionalFormatting sqref="C102">
    <cfRule type="cellIs" dxfId="3251" priority="6785" operator="lessThan">
      <formula>0</formula>
    </cfRule>
  </conditionalFormatting>
  <conditionalFormatting sqref="C102">
    <cfRule type="cellIs" dxfId="3250" priority="6786" operator="greaterThan">
      <formula>100</formula>
    </cfRule>
  </conditionalFormatting>
  <conditionalFormatting sqref="F102">
    <cfRule type="cellIs" dxfId="3249" priority="6787" operator="lessThan">
      <formula>0</formula>
    </cfRule>
  </conditionalFormatting>
  <conditionalFormatting sqref="F102">
    <cfRule type="cellIs" dxfId="3248" priority="6788" operator="greaterThan">
      <formula>70</formula>
    </cfRule>
  </conditionalFormatting>
  <conditionalFormatting sqref="G102">
    <cfRule type="cellIs" dxfId="3247" priority="6789" operator="lessThan">
      <formula>0</formula>
    </cfRule>
  </conditionalFormatting>
  <conditionalFormatting sqref="G102">
    <cfRule type="cellIs" dxfId="3246" priority="6790" operator="greaterThan">
      <formula>70</formula>
    </cfRule>
  </conditionalFormatting>
  <conditionalFormatting sqref="H102">
    <cfRule type="cellIs" dxfId="3245" priority="6791" operator="lessThan">
      <formula>0</formula>
    </cfRule>
  </conditionalFormatting>
  <conditionalFormatting sqref="H102">
    <cfRule type="cellIs" dxfId="3244" priority="6792" operator="greaterThan">
      <formula>70</formula>
    </cfRule>
  </conditionalFormatting>
  <conditionalFormatting sqref="I102">
    <cfRule type="cellIs" dxfId="3243" priority="6793" operator="lessThan">
      <formula>0</formula>
    </cfRule>
  </conditionalFormatting>
  <conditionalFormatting sqref="I102">
    <cfRule type="cellIs" dxfId="3242" priority="6794" operator="greaterThan">
      <formula>70</formula>
    </cfRule>
  </conditionalFormatting>
  <conditionalFormatting sqref="J102">
    <cfRule type="cellIs" dxfId="3241" priority="6795" operator="lessThan">
      <formula>0</formula>
    </cfRule>
  </conditionalFormatting>
  <conditionalFormatting sqref="J102">
    <cfRule type="cellIs" dxfId="3240" priority="6796" operator="greaterThan">
      <formula>70</formula>
    </cfRule>
  </conditionalFormatting>
  <conditionalFormatting sqref="K102">
    <cfRule type="cellIs" dxfId="3239" priority="6797" operator="lessThan">
      <formula>0</formula>
    </cfRule>
  </conditionalFormatting>
  <conditionalFormatting sqref="K102">
    <cfRule type="cellIs" dxfId="3238" priority="6798" operator="greaterThan">
      <formula>70</formula>
    </cfRule>
  </conditionalFormatting>
  <conditionalFormatting sqref="S102">
    <cfRule type="cellIs" dxfId="3237" priority="6799" operator="lessThan">
      <formula>0</formula>
    </cfRule>
  </conditionalFormatting>
  <conditionalFormatting sqref="S102">
    <cfRule type="cellIs" dxfId="3236" priority="6800" operator="greaterThan">
      <formula>70</formula>
    </cfRule>
  </conditionalFormatting>
  <conditionalFormatting sqref="T102">
    <cfRule type="cellIs" dxfId="3235" priority="6801" operator="lessThan">
      <formula>0</formula>
    </cfRule>
  </conditionalFormatting>
  <conditionalFormatting sqref="T102">
    <cfRule type="cellIs" dxfId="3234" priority="6802" operator="greaterThan">
      <formula>30</formula>
    </cfRule>
  </conditionalFormatting>
  <conditionalFormatting sqref="C103">
    <cfRule type="cellIs" dxfId="3233" priority="6803" operator="lessThan">
      <formula>0</formula>
    </cfRule>
  </conditionalFormatting>
  <conditionalFormatting sqref="C103">
    <cfRule type="cellIs" dxfId="3232" priority="6804" operator="greaterThan">
      <formula>100</formula>
    </cfRule>
  </conditionalFormatting>
  <conditionalFormatting sqref="F103">
    <cfRule type="cellIs" dxfId="3231" priority="6805" operator="lessThan">
      <formula>0</formula>
    </cfRule>
  </conditionalFormatting>
  <conditionalFormatting sqref="F103">
    <cfRule type="cellIs" dxfId="3230" priority="6806" operator="greaterThan">
      <formula>70</formula>
    </cfRule>
  </conditionalFormatting>
  <conditionalFormatting sqref="G103">
    <cfRule type="cellIs" dxfId="3229" priority="6807" operator="lessThan">
      <formula>0</formula>
    </cfRule>
  </conditionalFormatting>
  <conditionalFormatting sqref="G103">
    <cfRule type="cellIs" dxfId="3228" priority="6808" operator="greaterThan">
      <formula>70</formula>
    </cfRule>
  </conditionalFormatting>
  <conditionalFormatting sqref="H103">
    <cfRule type="cellIs" dxfId="3227" priority="6809" operator="lessThan">
      <formula>0</formula>
    </cfRule>
  </conditionalFormatting>
  <conditionalFormatting sqref="H103">
    <cfRule type="cellIs" dxfId="3226" priority="6810" operator="greaterThan">
      <formula>70</formula>
    </cfRule>
  </conditionalFormatting>
  <conditionalFormatting sqref="I103">
    <cfRule type="cellIs" dxfId="3225" priority="6811" operator="lessThan">
      <formula>0</formula>
    </cfRule>
  </conditionalFormatting>
  <conditionalFormatting sqref="I103">
    <cfRule type="cellIs" dxfId="3224" priority="6812" operator="greaterThan">
      <formula>70</formula>
    </cfRule>
  </conditionalFormatting>
  <conditionalFormatting sqref="J103">
    <cfRule type="cellIs" dxfId="3223" priority="6813" operator="lessThan">
      <formula>0</formula>
    </cfRule>
  </conditionalFormatting>
  <conditionalFormatting sqref="J103">
    <cfRule type="cellIs" dxfId="3222" priority="6814" operator="greaterThan">
      <formula>70</formula>
    </cfRule>
  </conditionalFormatting>
  <conditionalFormatting sqref="K103">
    <cfRule type="cellIs" dxfId="3221" priority="6815" operator="lessThan">
      <formula>0</formula>
    </cfRule>
  </conditionalFormatting>
  <conditionalFormatting sqref="K103">
    <cfRule type="cellIs" dxfId="3220" priority="6816" operator="greaterThan">
      <formula>70</formula>
    </cfRule>
  </conditionalFormatting>
  <conditionalFormatting sqref="S103">
    <cfRule type="cellIs" dxfId="3219" priority="6817" operator="lessThan">
      <formula>0</formula>
    </cfRule>
  </conditionalFormatting>
  <conditionalFormatting sqref="S103">
    <cfRule type="cellIs" dxfId="3218" priority="6818" operator="greaterThan">
      <formula>70</formula>
    </cfRule>
  </conditionalFormatting>
  <conditionalFormatting sqref="T103">
    <cfRule type="cellIs" dxfId="3217" priority="6819" operator="lessThan">
      <formula>0</formula>
    </cfRule>
  </conditionalFormatting>
  <conditionalFormatting sqref="T103">
    <cfRule type="cellIs" dxfId="3216" priority="6820" operator="greaterThan">
      <formula>30</formula>
    </cfRule>
  </conditionalFormatting>
  <conditionalFormatting sqref="C104">
    <cfRule type="cellIs" dxfId="3215" priority="6821" operator="lessThan">
      <formula>0</formula>
    </cfRule>
  </conditionalFormatting>
  <conditionalFormatting sqref="C104">
    <cfRule type="cellIs" dxfId="3214" priority="6822" operator="greaterThan">
      <formula>100</formula>
    </cfRule>
  </conditionalFormatting>
  <conditionalFormatting sqref="F104">
    <cfRule type="cellIs" dxfId="3213" priority="6823" operator="lessThan">
      <formula>0</formula>
    </cfRule>
  </conditionalFormatting>
  <conditionalFormatting sqref="F104">
    <cfRule type="cellIs" dxfId="3212" priority="6824" operator="greaterThan">
      <formula>70</formula>
    </cfRule>
  </conditionalFormatting>
  <conditionalFormatting sqref="G104">
    <cfRule type="cellIs" dxfId="3211" priority="6825" operator="lessThan">
      <formula>0</formula>
    </cfRule>
  </conditionalFormatting>
  <conditionalFormatting sqref="G104">
    <cfRule type="cellIs" dxfId="3210" priority="6826" operator="greaterThan">
      <formula>70</formula>
    </cfRule>
  </conditionalFormatting>
  <conditionalFormatting sqref="H104">
    <cfRule type="cellIs" dxfId="3209" priority="6827" operator="lessThan">
      <formula>0</formula>
    </cfRule>
  </conditionalFormatting>
  <conditionalFormatting sqref="H104">
    <cfRule type="cellIs" dxfId="3208" priority="6828" operator="greaterThan">
      <formula>70</formula>
    </cfRule>
  </conditionalFormatting>
  <conditionalFormatting sqref="I104">
    <cfRule type="cellIs" dxfId="3207" priority="6829" operator="lessThan">
      <formula>0</formula>
    </cfRule>
  </conditionalFormatting>
  <conditionalFormatting sqref="I104">
    <cfRule type="cellIs" dxfId="3206" priority="6830" operator="greaterThan">
      <formula>70</formula>
    </cfRule>
  </conditionalFormatting>
  <conditionalFormatting sqref="J104">
    <cfRule type="cellIs" dxfId="3205" priority="6831" operator="lessThan">
      <formula>0</formula>
    </cfRule>
  </conditionalFormatting>
  <conditionalFormatting sqref="J104">
    <cfRule type="cellIs" dxfId="3204" priority="6832" operator="greaterThan">
      <formula>70</formula>
    </cfRule>
  </conditionalFormatting>
  <conditionalFormatting sqref="K104">
    <cfRule type="cellIs" dxfId="3203" priority="6833" operator="lessThan">
      <formula>0</formula>
    </cfRule>
  </conditionalFormatting>
  <conditionalFormatting sqref="K104">
    <cfRule type="cellIs" dxfId="3202" priority="6834" operator="greaterThan">
      <formula>70</formula>
    </cfRule>
  </conditionalFormatting>
  <conditionalFormatting sqref="S104">
    <cfRule type="cellIs" dxfId="3201" priority="6835" operator="lessThan">
      <formula>0</formula>
    </cfRule>
  </conditionalFormatting>
  <conditionalFormatting sqref="S104">
    <cfRule type="cellIs" dxfId="3200" priority="6836" operator="greaterThan">
      <formula>70</formula>
    </cfRule>
  </conditionalFormatting>
  <conditionalFormatting sqref="T104">
    <cfRule type="cellIs" dxfId="3199" priority="6837" operator="lessThan">
      <formula>0</formula>
    </cfRule>
  </conditionalFormatting>
  <conditionalFormatting sqref="T104">
    <cfRule type="cellIs" dxfId="3198" priority="6838" operator="greaterThan">
      <formula>30</formula>
    </cfRule>
  </conditionalFormatting>
  <conditionalFormatting sqref="C105">
    <cfRule type="cellIs" dxfId="3197" priority="6839" operator="lessThan">
      <formula>0</formula>
    </cfRule>
  </conditionalFormatting>
  <conditionalFormatting sqref="C105">
    <cfRule type="cellIs" dxfId="3196" priority="6840" operator="greaterThan">
      <formula>100</formula>
    </cfRule>
  </conditionalFormatting>
  <conditionalFormatting sqref="F105">
    <cfRule type="cellIs" dxfId="3195" priority="6841" operator="lessThan">
      <formula>0</formula>
    </cfRule>
  </conditionalFormatting>
  <conditionalFormatting sqref="F105">
    <cfRule type="cellIs" dxfId="3194" priority="6842" operator="greaterThan">
      <formula>70</formula>
    </cfRule>
  </conditionalFormatting>
  <conditionalFormatting sqref="G105">
    <cfRule type="cellIs" dxfId="3193" priority="6843" operator="lessThan">
      <formula>0</formula>
    </cfRule>
  </conditionalFormatting>
  <conditionalFormatting sqref="G105">
    <cfRule type="cellIs" dxfId="3192" priority="6844" operator="greaterThan">
      <formula>70</formula>
    </cfRule>
  </conditionalFormatting>
  <conditionalFormatting sqref="H105">
    <cfRule type="cellIs" dxfId="3191" priority="6845" operator="lessThan">
      <formula>0</formula>
    </cfRule>
  </conditionalFormatting>
  <conditionalFormatting sqref="H105">
    <cfRule type="cellIs" dxfId="3190" priority="6846" operator="greaterThan">
      <formula>70</formula>
    </cfRule>
  </conditionalFormatting>
  <conditionalFormatting sqref="I105">
    <cfRule type="cellIs" dxfId="3189" priority="6847" operator="lessThan">
      <formula>0</formula>
    </cfRule>
  </conditionalFormatting>
  <conditionalFormatting sqref="I105">
    <cfRule type="cellIs" dxfId="3188" priority="6848" operator="greaterThan">
      <formula>70</formula>
    </cfRule>
  </conditionalFormatting>
  <conditionalFormatting sqref="J105">
    <cfRule type="cellIs" dxfId="3187" priority="6849" operator="lessThan">
      <formula>0</formula>
    </cfRule>
  </conditionalFormatting>
  <conditionalFormatting sqref="J105">
    <cfRule type="cellIs" dxfId="3186" priority="6850" operator="greaterThan">
      <formula>70</formula>
    </cfRule>
  </conditionalFormatting>
  <conditionalFormatting sqref="K105">
    <cfRule type="cellIs" dxfId="3185" priority="6851" operator="lessThan">
      <formula>0</formula>
    </cfRule>
  </conditionalFormatting>
  <conditionalFormatting sqref="K105">
    <cfRule type="cellIs" dxfId="3184" priority="6852" operator="greaterThan">
      <formula>70</formula>
    </cfRule>
  </conditionalFormatting>
  <conditionalFormatting sqref="S105">
    <cfRule type="cellIs" dxfId="3183" priority="6853" operator="lessThan">
      <formula>0</formula>
    </cfRule>
  </conditionalFormatting>
  <conditionalFormatting sqref="S105">
    <cfRule type="cellIs" dxfId="3182" priority="6854" operator="greaterThan">
      <formula>70</formula>
    </cfRule>
  </conditionalFormatting>
  <conditionalFormatting sqref="T105">
    <cfRule type="cellIs" dxfId="3181" priority="6855" operator="lessThan">
      <formula>0</formula>
    </cfRule>
  </conditionalFormatting>
  <conditionalFormatting sqref="T105">
    <cfRule type="cellIs" dxfId="3180" priority="6856" operator="greaterThan">
      <formula>30</formula>
    </cfRule>
  </conditionalFormatting>
  <conditionalFormatting sqref="C106">
    <cfRule type="cellIs" dxfId="3179" priority="6857" operator="lessThan">
      <formula>0</formula>
    </cfRule>
  </conditionalFormatting>
  <conditionalFormatting sqref="C106">
    <cfRule type="cellIs" dxfId="3178" priority="6858" operator="greaterThan">
      <formula>100</formula>
    </cfRule>
  </conditionalFormatting>
  <conditionalFormatting sqref="F106">
    <cfRule type="cellIs" dxfId="3177" priority="6859" operator="lessThan">
      <formula>0</formula>
    </cfRule>
  </conditionalFormatting>
  <conditionalFormatting sqref="F106">
    <cfRule type="cellIs" dxfId="3176" priority="6860" operator="greaterThan">
      <formula>70</formula>
    </cfRule>
  </conditionalFormatting>
  <conditionalFormatting sqref="G106">
    <cfRule type="cellIs" dxfId="3175" priority="6861" operator="lessThan">
      <formula>0</formula>
    </cfRule>
  </conditionalFormatting>
  <conditionalFormatting sqref="G106">
    <cfRule type="cellIs" dxfId="3174" priority="6862" operator="greaterThan">
      <formula>70</formula>
    </cfRule>
  </conditionalFormatting>
  <conditionalFormatting sqref="H106">
    <cfRule type="cellIs" dxfId="3173" priority="6863" operator="lessThan">
      <formula>0</formula>
    </cfRule>
  </conditionalFormatting>
  <conditionalFormatting sqref="H106">
    <cfRule type="cellIs" dxfId="3172" priority="6864" operator="greaterThan">
      <formula>70</formula>
    </cfRule>
  </conditionalFormatting>
  <conditionalFormatting sqref="I106">
    <cfRule type="cellIs" dxfId="3171" priority="6865" operator="lessThan">
      <formula>0</formula>
    </cfRule>
  </conditionalFormatting>
  <conditionalFormatting sqref="I106">
    <cfRule type="cellIs" dxfId="3170" priority="6866" operator="greaterThan">
      <formula>70</formula>
    </cfRule>
  </conditionalFormatting>
  <conditionalFormatting sqref="J106">
    <cfRule type="cellIs" dxfId="3169" priority="6867" operator="lessThan">
      <formula>0</formula>
    </cfRule>
  </conditionalFormatting>
  <conditionalFormatting sqref="J106">
    <cfRule type="cellIs" dxfId="3168" priority="6868" operator="greaterThan">
      <formula>70</formula>
    </cfRule>
  </conditionalFormatting>
  <conditionalFormatting sqref="K106">
    <cfRule type="cellIs" dxfId="3167" priority="6869" operator="lessThan">
      <formula>0</formula>
    </cfRule>
  </conditionalFormatting>
  <conditionalFormatting sqref="K106">
    <cfRule type="cellIs" dxfId="3166" priority="6870" operator="greaterThan">
      <formula>70</formula>
    </cfRule>
  </conditionalFormatting>
  <conditionalFormatting sqref="S106">
    <cfRule type="cellIs" dxfId="3165" priority="6871" operator="lessThan">
      <formula>0</formula>
    </cfRule>
  </conditionalFormatting>
  <conditionalFormatting sqref="S106">
    <cfRule type="cellIs" dxfId="3164" priority="6872" operator="greaterThan">
      <formula>70</formula>
    </cfRule>
  </conditionalFormatting>
  <conditionalFormatting sqref="T106">
    <cfRule type="cellIs" dxfId="3163" priority="6873" operator="lessThan">
      <formula>0</formula>
    </cfRule>
  </conditionalFormatting>
  <conditionalFormatting sqref="T106">
    <cfRule type="cellIs" dxfId="3162" priority="6874" operator="greaterThan">
      <formula>30</formula>
    </cfRule>
  </conditionalFormatting>
  <conditionalFormatting sqref="C107">
    <cfRule type="cellIs" dxfId="3161" priority="6875" operator="lessThan">
      <formula>0</formula>
    </cfRule>
  </conditionalFormatting>
  <conditionalFormatting sqref="C107">
    <cfRule type="cellIs" dxfId="3160" priority="6876" operator="greaterThan">
      <formula>100</formula>
    </cfRule>
  </conditionalFormatting>
  <conditionalFormatting sqref="F107">
    <cfRule type="cellIs" dxfId="3159" priority="6877" operator="lessThan">
      <formula>0</formula>
    </cfRule>
  </conditionalFormatting>
  <conditionalFormatting sqref="F107">
    <cfRule type="cellIs" dxfId="3158" priority="6878" operator="greaterThan">
      <formula>70</formula>
    </cfRule>
  </conditionalFormatting>
  <conditionalFormatting sqref="G107">
    <cfRule type="cellIs" dxfId="3157" priority="6879" operator="lessThan">
      <formula>0</formula>
    </cfRule>
  </conditionalFormatting>
  <conditionalFormatting sqref="G107">
    <cfRule type="cellIs" dxfId="3156" priority="6880" operator="greaterThan">
      <formula>70</formula>
    </cfRule>
  </conditionalFormatting>
  <conditionalFormatting sqref="H107">
    <cfRule type="cellIs" dxfId="3155" priority="6881" operator="lessThan">
      <formula>0</formula>
    </cfRule>
  </conditionalFormatting>
  <conditionalFormatting sqref="H107">
    <cfRule type="cellIs" dxfId="3154" priority="6882" operator="greaterThan">
      <formula>70</formula>
    </cfRule>
  </conditionalFormatting>
  <conditionalFormatting sqref="I107">
    <cfRule type="cellIs" dxfId="3153" priority="6883" operator="lessThan">
      <formula>0</formula>
    </cfRule>
  </conditionalFormatting>
  <conditionalFormatting sqref="I107">
    <cfRule type="cellIs" dxfId="3152" priority="6884" operator="greaterThan">
      <formula>70</formula>
    </cfRule>
  </conditionalFormatting>
  <conditionalFormatting sqref="J107">
    <cfRule type="cellIs" dxfId="3151" priority="6885" operator="lessThan">
      <formula>0</formula>
    </cfRule>
  </conditionalFormatting>
  <conditionalFormatting sqref="J107">
    <cfRule type="cellIs" dxfId="3150" priority="6886" operator="greaterThan">
      <formula>70</formula>
    </cfRule>
  </conditionalFormatting>
  <conditionalFormatting sqref="K107">
    <cfRule type="cellIs" dxfId="3149" priority="6887" operator="lessThan">
      <formula>0</formula>
    </cfRule>
  </conditionalFormatting>
  <conditionalFormatting sqref="K107">
    <cfRule type="cellIs" dxfId="3148" priority="6888" operator="greaterThan">
      <formula>70</formula>
    </cfRule>
  </conditionalFormatting>
  <conditionalFormatting sqref="S107">
    <cfRule type="cellIs" dxfId="3147" priority="6889" operator="lessThan">
      <formula>0</formula>
    </cfRule>
  </conditionalFormatting>
  <conditionalFormatting sqref="S107">
    <cfRule type="cellIs" dxfId="3146" priority="6890" operator="greaterThan">
      <formula>70</formula>
    </cfRule>
  </conditionalFormatting>
  <conditionalFormatting sqref="T107">
    <cfRule type="cellIs" dxfId="3145" priority="6891" operator="lessThan">
      <formula>0</formula>
    </cfRule>
  </conditionalFormatting>
  <conditionalFormatting sqref="T107">
    <cfRule type="cellIs" dxfId="3144" priority="6892" operator="greaterThan">
      <formula>30</formula>
    </cfRule>
  </conditionalFormatting>
  <conditionalFormatting sqref="C108">
    <cfRule type="cellIs" dxfId="3143" priority="6893" operator="lessThan">
      <formula>0</formula>
    </cfRule>
  </conditionalFormatting>
  <conditionalFormatting sqref="C108">
    <cfRule type="cellIs" dxfId="3142" priority="6894" operator="greaterThan">
      <formula>100</formula>
    </cfRule>
  </conditionalFormatting>
  <conditionalFormatting sqref="F108">
    <cfRule type="cellIs" dxfId="3141" priority="6895" operator="lessThan">
      <formula>0</formula>
    </cfRule>
  </conditionalFormatting>
  <conditionalFormatting sqref="F108">
    <cfRule type="cellIs" dxfId="3140" priority="6896" operator="greaterThan">
      <formula>70</formula>
    </cfRule>
  </conditionalFormatting>
  <conditionalFormatting sqref="G108">
    <cfRule type="cellIs" dxfId="3139" priority="6897" operator="lessThan">
      <formula>0</formula>
    </cfRule>
  </conditionalFormatting>
  <conditionalFormatting sqref="G108">
    <cfRule type="cellIs" dxfId="3138" priority="6898" operator="greaterThan">
      <formula>70</formula>
    </cfRule>
  </conditionalFormatting>
  <conditionalFormatting sqref="H108">
    <cfRule type="cellIs" dxfId="3137" priority="6899" operator="lessThan">
      <formula>0</formula>
    </cfRule>
  </conditionalFormatting>
  <conditionalFormatting sqref="H108">
    <cfRule type="cellIs" dxfId="3136" priority="6900" operator="greaterThan">
      <formula>70</formula>
    </cfRule>
  </conditionalFormatting>
  <conditionalFormatting sqref="I108">
    <cfRule type="cellIs" dxfId="3135" priority="6901" operator="lessThan">
      <formula>0</formula>
    </cfRule>
  </conditionalFormatting>
  <conditionalFormatting sqref="I108">
    <cfRule type="cellIs" dxfId="3134" priority="6902" operator="greaterThan">
      <formula>70</formula>
    </cfRule>
  </conditionalFormatting>
  <conditionalFormatting sqref="J108">
    <cfRule type="cellIs" dxfId="3133" priority="6903" operator="lessThan">
      <formula>0</formula>
    </cfRule>
  </conditionalFormatting>
  <conditionalFormatting sqref="J108">
    <cfRule type="cellIs" dxfId="3132" priority="6904" operator="greaterThan">
      <formula>70</formula>
    </cfRule>
  </conditionalFormatting>
  <conditionalFormatting sqref="K108">
    <cfRule type="cellIs" dxfId="3131" priority="6905" operator="lessThan">
      <formula>0</formula>
    </cfRule>
  </conditionalFormatting>
  <conditionalFormatting sqref="K108">
    <cfRule type="cellIs" dxfId="3130" priority="6906" operator="greaterThan">
      <formula>70</formula>
    </cfRule>
  </conditionalFormatting>
  <conditionalFormatting sqref="S108">
    <cfRule type="cellIs" dxfId="3129" priority="6907" operator="lessThan">
      <formula>0</formula>
    </cfRule>
  </conditionalFormatting>
  <conditionalFormatting sqref="S108">
    <cfRule type="cellIs" dxfId="3128" priority="6908" operator="greaterThan">
      <formula>70</formula>
    </cfRule>
  </conditionalFormatting>
  <conditionalFormatting sqref="T108">
    <cfRule type="cellIs" dxfId="3127" priority="6909" operator="lessThan">
      <formula>0</formula>
    </cfRule>
  </conditionalFormatting>
  <conditionalFormatting sqref="T108">
    <cfRule type="cellIs" dxfId="3126" priority="6910" operator="greaterThan">
      <formula>30</formula>
    </cfRule>
  </conditionalFormatting>
  <conditionalFormatting sqref="C109">
    <cfRule type="cellIs" dxfId="3125" priority="6911" operator="lessThan">
      <formula>0</formula>
    </cfRule>
  </conditionalFormatting>
  <conditionalFormatting sqref="C109">
    <cfRule type="cellIs" dxfId="3124" priority="6912" operator="greaterThan">
      <formula>100</formula>
    </cfRule>
  </conditionalFormatting>
  <conditionalFormatting sqref="F109">
    <cfRule type="cellIs" dxfId="3123" priority="6913" operator="lessThan">
      <formula>0</formula>
    </cfRule>
  </conditionalFormatting>
  <conditionalFormatting sqref="F109">
    <cfRule type="cellIs" dxfId="3122" priority="6914" operator="greaterThan">
      <formula>70</formula>
    </cfRule>
  </conditionalFormatting>
  <conditionalFormatting sqref="G109">
    <cfRule type="cellIs" dxfId="3121" priority="6915" operator="lessThan">
      <formula>0</formula>
    </cfRule>
  </conditionalFormatting>
  <conditionalFormatting sqref="G109">
    <cfRule type="cellIs" dxfId="3120" priority="6916" operator="greaterThan">
      <formula>70</formula>
    </cfRule>
  </conditionalFormatting>
  <conditionalFormatting sqref="H109">
    <cfRule type="cellIs" dxfId="3119" priority="6917" operator="lessThan">
      <formula>0</formula>
    </cfRule>
  </conditionalFormatting>
  <conditionalFormatting sqref="H109">
    <cfRule type="cellIs" dxfId="3118" priority="6918" operator="greaterThan">
      <formula>70</formula>
    </cfRule>
  </conditionalFormatting>
  <conditionalFormatting sqref="I109">
    <cfRule type="cellIs" dxfId="3117" priority="6919" operator="lessThan">
      <formula>0</formula>
    </cfRule>
  </conditionalFormatting>
  <conditionalFormatting sqref="I109">
    <cfRule type="cellIs" dxfId="3116" priority="6920" operator="greaterThan">
      <formula>70</formula>
    </cfRule>
  </conditionalFormatting>
  <conditionalFormatting sqref="J109">
    <cfRule type="cellIs" dxfId="3115" priority="6921" operator="lessThan">
      <formula>0</formula>
    </cfRule>
  </conditionalFormatting>
  <conditionalFormatting sqref="J109">
    <cfRule type="cellIs" dxfId="3114" priority="6922" operator="greaterThan">
      <formula>70</formula>
    </cfRule>
  </conditionalFormatting>
  <conditionalFormatting sqref="K109">
    <cfRule type="cellIs" dxfId="3113" priority="6923" operator="lessThan">
      <formula>0</formula>
    </cfRule>
  </conditionalFormatting>
  <conditionalFormatting sqref="K109">
    <cfRule type="cellIs" dxfId="3112" priority="6924" operator="greaterThan">
      <formula>70</formula>
    </cfRule>
  </conditionalFormatting>
  <conditionalFormatting sqref="S109">
    <cfRule type="cellIs" dxfId="3111" priority="6925" operator="lessThan">
      <formula>0</formula>
    </cfRule>
  </conditionalFormatting>
  <conditionalFormatting sqref="S109">
    <cfRule type="cellIs" dxfId="3110" priority="6926" operator="greaterThan">
      <formula>70</formula>
    </cfRule>
  </conditionalFormatting>
  <conditionalFormatting sqref="T109">
    <cfRule type="cellIs" dxfId="3109" priority="6927" operator="lessThan">
      <formula>0</formula>
    </cfRule>
  </conditionalFormatting>
  <conditionalFormatting sqref="T109">
    <cfRule type="cellIs" dxfId="3108" priority="6928" operator="greaterThan">
      <formula>30</formula>
    </cfRule>
  </conditionalFormatting>
  <conditionalFormatting sqref="C110">
    <cfRule type="cellIs" dxfId="3107" priority="6929" operator="lessThan">
      <formula>0</formula>
    </cfRule>
  </conditionalFormatting>
  <conditionalFormatting sqref="C110">
    <cfRule type="cellIs" dxfId="3106" priority="6930" operator="greaterThan">
      <formula>100</formula>
    </cfRule>
  </conditionalFormatting>
  <conditionalFormatting sqref="F110">
    <cfRule type="cellIs" dxfId="3105" priority="6931" operator="lessThan">
      <formula>0</formula>
    </cfRule>
  </conditionalFormatting>
  <conditionalFormatting sqref="F110">
    <cfRule type="cellIs" dxfId="3104" priority="6932" operator="greaterThan">
      <formula>70</formula>
    </cfRule>
  </conditionalFormatting>
  <conditionalFormatting sqref="G110">
    <cfRule type="cellIs" dxfId="3103" priority="6933" operator="lessThan">
      <formula>0</formula>
    </cfRule>
  </conditionalFormatting>
  <conditionalFormatting sqref="G110">
    <cfRule type="cellIs" dxfId="3102" priority="6934" operator="greaterThan">
      <formula>70</formula>
    </cfRule>
  </conditionalFormatting>
  <conditionalFormatting sqref="H110">
    <cfRule type="cellIs" dxfId="3101" priority="6935" operator="lessThan">
      <formula>0</formula>
    </cfRule>
  </conditionalFormatting>
  <conditionalFormatting sqref="H110">
    <cfRule type="cellIs" dxfId="3100" priority="6936" operator="greaterThan">
      <formula>70</formula>
    </cfRule>
  </conditionalFormatting>
  <conditionalFormatting sqref="I110">
    <cfRule type="cellIs" dxfId="3099" priority="6937" operator="lessThan">
      <formula>0</formula>
    </cfRule>
  </conditionalFormatting>
  <conditionalFormatting sqref="I110">
    <cfRule type="cellIs" dxfId="3098" priority="6938" operator="greaterThan">
      <formula>70</formula>
    </cfRule>
  </conditionalFormatting>
  <conditionalFormatting sqref="J110">
    <cfRule type="cellIs" dxfId="3097" priority="6939" operator="lessThan">
      <formula>0</formula>
    </cfRule>
  </conditionalFormatting>
  <conditionalFormatting sqref="J110">
    <cfRule type="cellIs" dxfId="3096" priority="6940" operator="greaterThan">
      <formula>70</formula>
    </cfRule>
  </conditionalFormatting>
  <conditionalFormatting sqref="K110">
    <cfRule type="cellIs" dxfId="3095" priority="6941" operator="lessThan">
      <formula>0</formula>
    </cfRule>
  </conditionalFormatting>
  <conditionalFormatting sqref="K110">
    <cfRule type="cellIs" dxfId="3094" priority="6942" operator="greaterThan">
      <formula>70</formula>
    </cfRule>
  </conditionalFormatting>
  <conditionalFormatting sqref="S110">
    <cfRule type="cellIs" dxfId="3093" priority="6943" operator="lessThan">
      <formula>0</formula>
    </cfRule>
  </conditionalFormatting>
  <conditionalFormatting sqref="S110">
    <cfRule type="cellIs" dxfId="3092" priority="6944" operator="greaterThan">
      <formula>70</formula>
    </cfRule>
  </conditionalFormatting>
  <conditionalFormatting sqref="T110">
    <cfRule type="cellIs" dxfId="3091" priority="6945" operator="lessThan">
      <formula>0</formula>
    </cfRule>
  </conditionalFormatting>
  <conditionalFormatting sqref="T110">
    <cfRule type="cellIs" dxfId="3090" priority="6946" operator="greaterThan">
      <formula>30</formula>
    </cfRule>
  </conditionalFormatting>
  <conditionalFormatting sqref="C111">
    <cfRule type="cellIs" dxfId="3089" priority="6947" operator="lessThan">
      <formula>0</formula>
    </cfRule>
  </conditionalFormatting>
  <conditionalFormatting sqref="C111">
    <cfRule type="cellIs" dxfId="3088" priority="6948" operator="greaterThan">
      <formula>100</formula>
    </cfRule>
  </conditionalFormatting>
  <conditionalFormatting sqref="F111">
    <cfRule type="cellIs" dxfId="3087" priority="6949" operator="lessThan">
      <formula>0</formula>
    </cfRule>
  </conditionalFormatting>
  <conditionalFormatting sqref="F111">
    <cfRule type="cellIs" dxfId="3086" priority="6950" operator="greaterThan">
      <formula>70</formula>
    </cfRule>
  </conditionalFormatting>
  <conditionalFormatting sqref="G111">
    <cfRule type="cellIs" dxfId="3085" priority="6951" operator="lessThan">
      <formula>0</formula>
    </cfRule>
  </conditionalFormatting>
  <conditionalFormatting sqref="G111">
    <cfRule type="cellIs" dxfId="3084" priority="6952" operator="greaterThan">
      <formula>70</formula>
    </cfRule>
  </conditionalFormatting>
  <conditionalFormatting sqref="H111">
    <cfRule type="cellIs" dxfId="3083" priority="6953" operator="lessThan">
      <formula>0</formula>
    </cfRule>
  </conditionalFormatting>
  <conditionalFormatting sqref="H111">
    <cfRule type="cellIs" dxfId="3082" priority="6954" operator="greaterThan">
      <formula>70</formula>
    </cfRule>
  </conditionalFormatting>
  <conditionalFormatting sqref="I111">
    <cfRule type="cellIs" dxfId="3081" priority="6955" operator="lessThan">
      <formula>0</formula>
    </cfRule>
  </conditionalFormatting>
  <conditionalFormatting sqref="I111">
    <cfRule type="cellIs" dxfId="3080" priority="6956" operator="greaterThan">
      <formula>70</formula>
    </cfRule>
  </conditionalFormatting>
  <conditionalFormatting sqref="J111">
    <cfRule type="cellIs" dxfId="3079" priority="6957" operator="lessThan">
      <formula>0</formula>
    </cfRule>
  </conditionalFormatting>
  <conditionalFormatting sqref="J111">
    <cfRule type="cellIs" dxfId="3078" priority="6958" operator="greaterThan">
      <formula>70</formula>
    </cfRule>
  </conditionalFormatting>
  <conditionalFormatting sqref="K111">
    <cfRule type="cellIs" dxfId="3077" priority="6959" operator="lessThan">
      <formula>0</formula>
    </cfRule>
  </conditionalFormatting>
  <conditionalFormatting sqref="K111">
    <cfRule type="cellIs" dxfId="3076" priority="6960" operator="greaterThan">
      <formula>70</formula>
    </cfRule>
  </conditionalFormatting>
  <conditionalFormatting sqref="S111">
    <cfRule type="cellIs" dxfId="3075" priority="6961" operator="lessThan">
      <formula>0</formula>
    </cfRule>
  </conditionalFormatting>
  <conditionalFormatting sqref="S111">
    <cfRule type="cellIs" dxfId="3074" priority="6962" operator="greaterThan">
      <formula>70</formula>
    </cfRule>
  </conditionalFormatting>
  <conditionalFormatting sqref="T111">
    <cfRule type="cellIs" dxfId="3073" priority="6963" operator="lessThan">
      <formula>0</formula>
    </cfRule>
  </conditionalFormatting>
  <conditionalFormatting sqref="T111">
    <cfRule type="cellIs" dxfId="3072" priority="6964" operator="greaterThan">
      <formula>30</formula>
    </cfRule>
  </conditionalFormatting>
  <conditionalFormatting sqref="C112">
    <cfRule type="cellIs" dxfId="3071" priority="6965" operator="lessThan">
      <formula>0</formula>
    </cfRule>
  </conditionalFormatting>
  <conditionalFormatting sqref="C112">
    <cfRule type="cellIs" dxfId="3070" priority="6966" operator="greaterThan">
      <formula>100</formula>
    </cfRule>
  </conditionalFormatting>
  <conditionalFormatting sqref="F112">
    <cfRule type="cellIs" dxfId="3069" priority="6967" operator="lessThan">
      <formula>0</formula>
    </cfRule>
  </conditionalFormatting>
  <conditionalFormatting sqref="F112">
    <cfRule type="cellIs" dxfId="3068" priority="6968" operator="greaterThan">
      <formula>70</formula>
    </cfRule>
  </conditionalFormatting>
  <conditionalFormatting sqref="G112">
    <cfRule type="cellIs" dxfId="3067" priority="6969" operator="lessThan">
      <formula>0</formula>
    </cfRule>
  </conditionalFormatting>
  <conditionalFormatting sqref="G112">
    <cfRule type="cellIs" dxfId="3066" priority="6970" operator="greaterThan">
      <formula>70</formula>
    </cfRule>
  </conditionalFormatting>
  <conditionalFormatting sqref="H112">
    <cfRule type="cellIs" dxfId="3065" priority="6971" operator="lessThan">
      <formula>0</formula>
    </cfRule>
  </conditionalFormatting>
  <conditionalFormatting sqref="H112">
    <cfRule type="cellIs" dxfId="3064" priority="6972" operator="greaterThan">
      <formula>70</formula>
    </cfRule>
  </conditionalFormatting>
  <conditionalFormatting sqref="I112">
    <cfRule type="cellIs" dxfId="3063" priority="6973" operator="lessThan">
      <formula>0</formula>
    </cfRule>
  </conditionalFormatting>
  <conditionalFormatting sqref="I112">
    <cfRule type="cellIs" dxfId="3062" priority="6974" operator="greaterThan">
      <formula>70</formula>
    </cfRule>
  </conditionalFormatting>
  <conditionalFormatting sqref="J112">
    <cfRule type="cellIs" dxfId="3061" priority="6975" operator="lessThan">
      <formula>0</formula>
    </cfRule>
  </conditionalFormatting>
  <conditionalFormatting sqref="J112">
    <cfRule type="cellIs" dxfId="3060" priority="6976" operator="greaterThan">
      <formula>70</formula>
    </cfRule>
  </conditionalFormatting>
  <conditionalFormatting sqref="K112">
    <cfRule type="cellIs" dxfId="3059" priority="6977" operator="lessThan">
      <formula>0</formula>
    </cfRule>
  </conditionalFormatting>
  <conditionalFormatting sqref="K112">
    <cfRule type="cellIs" dxfId="3058" priority="6978" operator="greaterThan">
      <formula>70</formula>
    </cfRule>
  </conditionalFormatting>
  <conditionalFormatting sqref="S112">
    <cfRule type="cellIs" dxfId="3057" priority="6979" operator="lessThan">
      <formula>0</formula>
    </cfRule>
  </conditionalFormatting>
  <conditionalFormatting sqref="S112">
    <cfRule type="cellIs" dxfId="3056" priority="6980" operator="greaterThan">
      <formula>70</formula>
    </cfRule>
  </conditionalFormatting>
  <conditionalFormatting sqref="T112">
    <cfRule type="cellIs" dxfId="3055" priority="6981" operator="lessThan">
      <formula>0</formula>
    </cfRule>
  </conditionalFormatting>
  <conditionalFormatting sqref="T112">
    <cfRule type="cellIs" dxfId="3054" priority="6982" operator="greaterThan">
      <formula>30</formula>
    </cfRule>
  </conditionalFormatting>
  <conditionalFormatting sqref="C113">
    <cfRule type="cellIs" dxfId="3053" priority="6983" operator="lessThan">
      <formula>0</formula>
    </cfRule>
  </conditionalFormatting>
  <conditionalFormatting sqref="C113">
    <cfRule type="cellIs" dxfId="3052" priority="6984" operator="greaterThan">
      <formula>100</formula>
    </cfRule>
  </conditionalFormatting>
  <conditionalFormatting sqref="F113">
    <cfRule type="cellIs" dxfId="3051" priority="6985" operator="lessThan">
      <formula>0</formula>
    </cfRule>
  </conditionalFormatting>
  <conditionalFormatting sqref="F113">
    <cfRule type="cellIs" dxfId="3050" priority="6986" operator="greaterThan">
      <formula>70</formula>
    </cfRule>
  </conditionalFormatting>
  <conditionalFormatting sqref="G113">
    <cfRule type="cellIs" dxfId="3049" priority="6987" operator="lessThan">
      <formula>0</formula>
    </cfRule>
  </conditionalFormatting>
  <conditionalFormatting sqref="G113">
    <cfRule type="cellIs" dxfId="3048" priority="6988" operator="greaterThan">
      <formula>70</formula>
    </cfRule>
  </conditionalFormatting>
  <conditionalFormatting sqref="H113">
    <cfRule type="cellIs" dxfId="3047" priority="6989" operator="lessThan">
      <formula>0</formula>
    </cfRule>
  </conditionalFormatting>
  <conditionalFormatting sqref="H113">
    <cfRule type="cellIs" dxfId="3046" priority="6990" operator="greaterThan">
      <formula>70</formula>
    </cfRule>
  </conditionalFormatting>
  <conditionalFormatting sqref="I113">
    <cfRule type="cellIs" dxfId="3045" priority="6991" operator="lessThan">
      <formula>0</formula>
    </cfRule>
  </conditionalFormatting>
  <conditionalFormatting sqref="I113">
    <cfRule type="cellIs" dxfId="3044" priority="6992" operator="greaterThan">
      <formula>70</formula>
    </cfRule>
  </conditionalFormatting>
  <conditionalFormatting sqref="J113">
    <cfRule type="cellIs" dxfId="3043" priority="6993" operator="lessThan">
      <formula>0</formula>
    </cfRule>
  </conditionalFormatting>
  <conditionalFormatting sqref="J113">
    <cfRule type="cellIs" dxfId="3042" priority="6994" operator="greaterThan">
      <formula>70</formula>
    </cfRule>
  </conditionalFormatting>
  <conditionalFormatting sqref="K113">
    <cfRule type="cellIs" dxfId="3041" priority="6995" operator="lessThan">
      <formula>0</formula>
    </cfRule>
  </conditionalFormatting>
  <conditionalFormatting sqref="K113">
    <cfRule type="cellIs" dxfId="3040" priority="6996" operator="greaterThan">
      <formula>70</formula>
    </cfRule>
  </conditionalFormatting>
  <conditionalFormatting sqref="S113">
    <cfRule type="cellIs" dxfId="3039" priority="6997" operator="lessThan">
      <formula>0</formula>
    </cfRule>
  </conditionalFormatting>
  <conditionalFormatting sqref="S113">
    <cfRule type="cellIs" dxfId="3038" priority="6998" operator="greaterThan">
      <formula>70</formula>
    </cfRule>
  </conditionalFormatting>
  <conditionalFormatting sqref="T113">
    <cfRule type="cellIs" dxfId="3037" priority="6999" operator="lessThan">
      <formula>0</formula>
    </cfRule>
  </conditionalFormatting>
  <conditionalFormatting sqref="T113">
    <cfRule type="cellIs" dxfId="3036" priority="7000" operator="greaterThan">
      <formula>30</formula>
    </cfRule>
  </conditionalFormatting>
  <conditionalFormatting sqref="C114">
    <cfRule type="cellIs" dxfId="3035" priority="7001" operator="lessThan">
      <formula>0</formula>
    </cfRule>
  </conditionalFormatting>
  <conditionalFormatting sqref="C114">
    <cfRule type="cellIs" dxfId="3034" priority="7002" operator="greaterThan">
      <formula>100</formula>
    </cfRule>
  </conditionalFormatting>
  <conditionalFormatting sqref="F114">
    <cfRule type="cellIs" dxfId="3033" priority="7003" operator="lessThan">
      <formula>0</formula>
    </cfRule>
  </conditionalFormatting>
  <conditionalFormatting sqref="F114">
    <cfRule type="cellIs" dxfId="3032" priority="7004" operator="greaterThan">
      <formula>70</formula>
    </cfRule>
  </conditionalFormatting>
  <conditionalFormatting sqref="G114">
    <cfRule type="cellIs" dxfId="3031" priority="7005" operator="lessThan">
      <formula>0</formula>
    </cfRule>
  </conditionalFormatting>
  <conditionalFormatting sqref="G114">
    <cfRule type="cellIs" dxfId="3030" priority="7006" operator="greaterThan">
      <formula>70</formula>
    </cfRule>
  </conditionalFormatting>
  <conditionalFormatting sqref="H114">
    <cfRule type="cellIs" dxfId="3029" priority="7007" operator="lessThan">
      <formula>0</formula>
    </cfRule>
  </conditionalFormatting>
  <conditionalFormatting sqref="H114">
    <cfRule type="cellIs" dxfId="3028" priority="7008" operator="greaterThan">
      <formula>70</formula>
    </cfRule>
  </conditionalFormatting>
  <conditionalFormatting sqref="I114">
    <cfRule type="cellIs" dxfId="3027" priority="7009" operator="lessThan">
      <formula>0</formula>
    </cfRule>
  </conditionalFormatting>
  <conditionalFormatting sqref="I114">
    <cfRule type="cellIs" dxfId="3026" priority="7010" operator="greaterThan">
      <formula>70</formula>
    </cfRule>
  </conditionalFormatting>
  <conditionalFormatting sqref="J114">
    <cfRule type="cellIs" dxfId="3025" priority="7011" operator="lessThan">
      <formula>0</formula>
    </cfRule>
  </conditionalFormatting>
  <conditionalFormatting sqref="J114">
    <cfRule type="cellIs" dxfId="3024" priority="7012" operator="greaterThan">
      <formula>70</formula>
    </cfRule>
  </conditionalFormatting>
  <conditionalFormatting sqref="K114">
    <cfRule type="cellIs" dxfId="3023" priority="7013" operator="lessThan">
      <formula>0</formula>
    </cfRule>
  </conditionalFormatting>
  <conditionalFormatting sqref="K114">
    <cfRule type="cellIs" dxfId="3022" priority="7014" operator="greaterThan">
      <formula>70</formula>
    </cfRule>
  </conditionalFormatting>
  <conditionalFormatting sqref="S114">
    <cfRule type="cellIs" dxfId="3021" priority="7015" operator="lessThan">
      <formula>0</formula>
    </cfRule>
  </conditionalFormatting>
  <conditionalFormatting sqref="S114">
    <cfRule type="cellIs" dxfId="3020" priority="7016" operator="greaterThan">
      <formula>70</formula>
    </cfRule>
  </conditionalFormatting>
  <conditionalFormatting sqref="T114">
    <cfRule type="cellIs" dxfId="3019" priority="7017" operator="lessThan">
      <formula>0</formula>
    </cfRule>
  </conditionalFormatting>
  <conditionalFormatting sqref="T114">
    <cfRule type="cellIs" dxfId="3018" priority="7018" operator="greaterThan">
      <formula>30</formula>
    </cfRule>
  </conditionalFormatting>
  <conditionalFormatting sqref="C115">
    <cfRule type="cellIs" dxfId="3017" priority="7019" operator="lessThan">
      <formula>0</formula>
    </cfRule>
  </conditionalFormatting>
  <conditionalFormatting sqref="C115">
    <cfRule type="cellIs" dxfId="3016" priority="7020" operator="greaterThan">
      <formula>100</formula>
    </cfRule>
  </conditionalFormatting>
  <conditionalFormatting sqref="F115">
    <cfRule type="cellIs" dxfId="3015" priority="7021" operator="lessThan">
      <formula>0</formula>
    </cfRule>
  </conditionalFormatting>
  <conditionalFormatting sqref="F115">
    <cfRule type="cellIs" dxfId="3014" priority="7022" operator="greaterThan">
      <formula>70</formula>
    </cfRule>
  </conditionalFormatting>
  <conditionalFormatting sqref="G115">
    <cfRule type="cellIs" dxfId="3013" priority="7023" operator="lessThan">
      <formula>0</formula>
    </cfRule>
  </conditionalFormatting>
  <conditionalFormatting sqref="G115">
    <cfRule type="cellIs" dxfId="3012" priority="7024" operator="greaterThan">
      <formula>70</formula>
    </cfRule>
  </conditionalFormatting>
  <conditionalFormatting sqref="H115">
    <cfRule type="cellIs" dxfId="3011" priority="7025" operator="lessThan">
      <formula>0</formula>
    </cfRule>
  </conditionalFormatting>
  <conditionalFormatting sqref="H115">
    <cfRule type="cellIs" dxfId="3010" priority="7026" operator="greaterThan">
      <formula>70</formula>
    </cfRule>
  </conditionalFormatting>
  <conditionalFormatting sqref="I115">
    <cfRule type="cellIs" dxfId="3009" priority="7027" operator="lessThan">
      <formula>0</formula>
    </cfRule>
  </conditionalFormatting>
  <conditionalFormatting sqref="I115">
    <cfRule type="cellIs" dxfId="3008" priority="7028" operator="greaterThan">
      <formula>70</formula>
    </cfRule>
  </conditionalFormatting>
  <conditionalFormatting sqref="J115">
    <cfRule type="cellIs" dxfId="3007" priority="7029" operator="lessThan">
      <formula>0</formula>
    </cfRule>
  </conditionalFormatting>
  <conditionalFormatting sqref="J115">
    <cfRule type="cellIs" dxfId="3006" priority="7030" operator="greaterThan">
      <formula>70</formula>
    </cfRule>
  </conditionalFormatting>
  <conditionalFormatting sqref="K115">
    <cfRule type="cellIs" dxfId="3005" priority="7031" operator="lessThan">
      <formula>0</formula>
    </cfRule>
  </conditionalFormatting>
  <conditionalFormatting sqref="K115">
    <cfRule type="cellIs" dxfId="3004" priority="7032" operator="greaterThan">
      <formula>70</formula>
    </cfRule>
  </conditionalFormatting>
  <conditionalFormatting sqref="S115">
    <cfRule type="cellIs" dxfId="3003" priority="7033" operator="lessThan">
      <formula>0</formula>
    </cfRule>
  </conditionalFormatting>
  <conditionalFormatting sqref="S115">
    <cfRule type="cellIs" dxfId="3002" priority="7034" operator="greaterThan">
      <formula>70</formula>
    </cfRule>
  </conditionalFormatting>
  <conditionalFormatting sqref="T115">
    <cfRule type="cellIs" dxfId="3001" priority="7035" operator="lessThan">
      <formula>0</formula>
    </cfRule>
  </conditionalFormatting>
  <conditionalFormatting sqref="T115">
    <cfRule type="cellIs" dxfId="3000" priority="7036" operator="greaterThan">
      <formula>30</formula>
    </cfRule>
  </conditionalFormatting>
  <conditionalFormatting sqref="C116">
    <cfRule type="cellIs" dxfId="2999" priority="7037" operator="lessThan">
      <formula>0</formula>
    </cfRule>
  </conditionalFormatting>
  <conditionalFormatting sqref="C116">
    <cfRule type="cellIs" dxfId="2998" priority="7038" operator="greaterThan">
      <formula>100</formula>
    </cfRule>
  </conditionalFormatting>
  <conditionalFormatting sqref="F116">
    <cfRule type="cellIs" dxfId="2997" priority="7039" operator="lessThan">
      <formula>0</formula>
    </cfRule>
  </conditionalFormatting>
  <conditionalFormatting sqref="F116">
    <cfRule type="cellIs" dxfId="2996" priority="7040" operator="greaterThan">
      <formula>70</formula>
    </cfRule>
  </conditionalFormatting>
  <conditionalFormatting sqref="G116">
    <cfRule type="cellIs" dxfId="2995" priority="7041" operator="lessThan">
      <formula>0</formula>
    </cfRule>
  </conditionalFormatting>
  <conditionalFormatting sqref="G116">
    <cfRule type="cellIs" dxfId="2994" priority="7042" operator="greaterThan">
      <formula>70</formula>
    </cfRule>
  </conditionalFormatting>
  <conditionalFormatting sqref="H116">
    <cfRule type="cellIs" dxfId="2993" priority="7043" operator="lessThan">
      <formula>0</formula>
    </cfRule>
  </conditionalFormatting>
  <conditionalFormatting sqref="H116">
    <cfRule type="cellIs" dxfId="2992" priority="7044" operator="greaterThan">
      <formula>70</formula>
    </cfRule>
  </conditionalFormatting>
  <conditionalFormatting sqref="I116">
    <cfRule type="cellIs" dxfId="2991" priority="7045" operator="lessThan">
      <formula>0</formula>
    </cfRule>
  </conditionalFormatting>
  <conditionalFormatting sqref="I116">
    <cfRule type="cellIs" dxfId="2990" priority="7046" operator="greaterThan">
      <formula>70</formula>
    </cfRule>
  </conditionalFormatting>
  <conditionalFormatting sqref="J116">
    <cfRule type="cellIs" dxfId="2989" priority="7047" operator="lessThan">
      <formula>0</formula>
    </cfRule>
  </conditionalFormatting>
  <conditionalFormatting sqref="J116">
    <cfRule type="cellIs" dxfId="2988" priority="7048" operator="greaterThan">
      <formula>70</formula>
    </cfRule>
  </conditionalFormatting>
  <conditionalFormatting sqref="K116">
    <cfRule type="cellIs" dxfId="2987" priority="7049" operator="lessThan">
      <formula>0</formula>
    </cfRule>
  </conditionalFormatting>
  <conditionalFormatting sqref="K116">
    <cfRule type="cellIs" dxfId="2986" priority="7050" operator="greaterThan">
      <formula>70</formula>
    </cfRule>
  </conditionalFormatting>
  <conditionalFormatting sqref="S116">
    <cfRule type="cellIs" dxfId="2985" priority="7051" operator="lessThan">
      <formula>0</formula>
    </cfRule>
  </conditionalFormatting>
  <conditionalFormatting sqref="S116">
    <cfRule type="cellIs" dxfId="2984" priority="7052" operator="greaterThan">
      <formula>70</formula>
    </cfRule>
  </conditionalFormatting>
  <conditionalFormatting sqref="T116">
    <cfRule type="cellIs" dxfId="2983" priority="7053" operator="lessThan">
      <formula>0</formula>
    </cfRule>
  </conditionalFormatting>
  <conditionalFormatting sqref="T116">
    <cfRule type="cellIs" dxfId="2982" priority="7054" operator="greaterThan">
      <formula>30</formula>
    </cfRule>
  </conditionalFormatting>
  <conditionalFormatting sqref="C117">
    <cfRule type="cellIs" dxfId="2981" priority="7055" operator="lessThan">
      <formula>0</formula>
    </cfRule>
  </conditionalFormatting>
  <conditionalFormatting sqref="C117">
    <cfRule type="cellIs" dxfId="2980" priority="7056" operator="greaterThan">
      <formula>100</formula>
    </cfRule>
  </conditionalFormatting>
  <conditionalFormatting sqref="F117">
    <cfRule type="cellIs" dxfId="2979" priority="7057" operator="lessThan">
      <formula>0</formula>
    </cfRule>
  </conditionalFormatting>
  <conditionalFormatting sqref="F117">
    <cfRule type="cellIs" dxfId="2978" priority="7058" operator="greaterThan">
      <formula>70</formula>
    </cfRule>
  </conditionalFormatting>
  <conditionalFormatting sqref="G117">
    <cfRule type="cellIs" dxfId="2977" priority="7059" operator="lessThan">
      <formula>0</formula>
    </cfRule>
  </conditionalFormatting>
  <conditionalFormatting sqref="G117">
    <cfRule type="cellIs" dxfId="2976" priority="7060" operator="greaterThan">
      <formula>70</formula>
    </cfRule>
  </conditionalFormatting>
  <conditionalFormatting sqref="H117">
    <cfRule type="cellIs" dxfId="2975" priority="7061" operator="lessThan">
      <formula>0</formula>
    </cfRule>
  </conditionalFormatting>
  <conditionalFormatting sqref="H117">
    <cfRule type="cellIs" dxfId="2974" priority="7062" operator="greaterThan">
      <formula>70</formula>
    </cfRule>
  </conditionalFormatting>
  <conditionalFormatting sqref="I117">
    <cfRule type="cellIs" dxfId="2973" priority="7063" operator="lessThan">
      <formula>0</formula>
    </cfRule>
  </conditionalFormatting>
  <conditionalFormatting sqref="I117">
    <cfRule type="cellIs" dxfId="2972" priority="7064" operator="greaterThan">
      <formula>70</formula>
    </cfRule>
  </conditionalFormatting>
  <conditionalFormatting sqref="J117">
    <cfRule type="cellIs" dxfId="2971" priority="7065" operator="lessThan">
      <formula>0</formula>
    </cfRule>
  </conditionalFormatting>
  <conditionalFormatting sqref="J117">
    <cfRule type="cellIs" dxfId="2970" priority="7066" operator="greaterThan">
      <formula>70</formula>
    </cfRule>
  </conditionalFormatting>
  <conditionalFormatting sqref="K117">
    <cfRule type="cellIs" dxfId="2969" priority="7067" operator="lessThan">
      <formula>0</formula>
    </cfRule>
  </conditionalFormatting>
  <conditionalFormatting sqref="K117">
    <cfRule type="cellIs" dxfId="2968" priority="7068" operator="greaterThan">
      <formula>70</formula>
    </cfRule>
  </conditionalFormatting>
  <conditionalFormatting sqref="S117">
    <cfRule type="cellIs" dxfId="2967" priority="7069" operator="lessThan">
      <formula>0</formula>
    </cfRule>
  </conditionalFormatting>
  <conditionalFormatting sqref="S117">
    <cfRule type="cellIs" dxfId="2966" priority="7070" operator="greaterThan">
      <formula>70</formula>
    </cfRule>
  </conditionalFormatting>
  <conditionalFormatting sqref="T117">
    <cfRule type="cellIs" dxfId="2965" priority="7071" operator="lessThan">
      <formula>0</formula>
    </cfRule>
  </conditionalFormatting>
  <conditionalFormatting sqref="T117">
    <cfRule type="cellIs" dxfId="2964" priority="7072" operator="greaterThan">
      <formula>30</formula>
    </cfRule>
  </conditionalFormatting>
  <conditionalFormatting sqref="C118">
    <cfRule type="cellIs" dxfId="2963" priority="7073" operator="lessThan">
      <formula>0</formula>
    </cfRule>
  </conditionalFormatting>
  <conditionalFormatting sqref="C118">
    <cfRule type="cellIs" dxfId="2962" priority="7074" operator="greaterThan">
      <formula>100</formula>
    </cfRule>
  </conditionalFormatting>
  <conditionalFormatting sqref="F118">
    <cfRule type="cellIs" dxfId="2961" priority="7075" operator="lessThan">
      <formula>0</formula>
    </cfRule>
  </conditionalFormatting>
  <conditionalFormatting sqref="F118">
    <cfRule type="cellIs" dxfId="2960" priority="7076" operator="greaterThan">
      <formula>70</formula>
    </cfRule>
  </conditionalFormatting>
  <conditionalFormatting sqref="G118">
    <cfRule type="cellIs" dxfId="2959" priority="7077" operator="lessThan">
      <formula>0</formula>
    </cfRule>
  </conditionalFormatting>
  <conditionalFormatting sqref="G118">
    <cfRule type="cellIs" dxfId="2958" priority="7078" operator="greaterThan">
      <formula>70</formula>
    </cfRule>
  </conditionalFormatting>
  <conditionalFormatting sqref="H118">
    <cfRule type="cellIs" dxfId="2957" priority="7079" operator="lessThan">
      <formula>0</formula>
    </cfRule>
  </conditionalFormatting>
  <conditionalFormatting sqref="H118">
    <cfRule type="cellIs" dxfId="2956" priority="7080" operator="greaterThan">
      <formula>70</formula>
    </cfRule>
  </conditionalFormatting>
  <conditionalFormatting sqref="I118">
    <cfRule type="cellIs" dxfId="2955" priority="7081" operator="lessThan">
      <formula>0</formula>
    </cfRule>
  </conditionalFormatting>
  <conditionalFormatting sqref="I118">
    <cfRule type="cellIs" dxfId="2954" priority="7082" operator="greaterThan">
      <formula>70</formula>
    </cfRule>
  </conditionalFormatting>
  <conditionalFormatting sqref="J118">
    <cfRule type="cellIs" dxfId="2953" priority="7083" operator="lessThan">
      <formula>0</formula>
    </cfRule>
  </conditionalFormatting>
  <conditionalFormatting sqref="J118">
    <cfRule type="cellIs" dxfId="2952" priority="7084" operator="greaterThan">
      <formula>70</formula>
    </cfRule>
  </conditionalFormatting>
  <conditionalFormatting sqref="K118">
    <cfRule type="cellIs" dxfId="2951" priority="7085" operator="lessThan">
      <formula>0</formula>
    </cfRule>
  </conditionalFormatting>
  <conditionalFormatting sqref="K118">
    <cfRule type="cellIs" dxfId="2950" priority="7086" operator="greaterThan">
      <formula>70</formula>
    </cfRule>
  </conditionalFormatting>
  <conditionalFormatting sqref="S118">
    <cfRule type="cellIs" dxfId="2949" priority="7087" operator="lessThan">
      <formula>0</formula>
    </cfRule>
  </conditionalFormatting>
  <conditionalFormatting sqref="S118">
    <cfRule type="cellIs" dxfId="2948" priority="7088" operator="greaterThan">
      <formula>70</formula>
    </cfRule>
  </conditionalFormatting>
  <conditionalFormatting sqref="T118">
    <cfRule type="cellIs" dxfId="2947" priority="7089" operator="lessThan">
      <formula>0</formula>
    </cfRule>
  </conditionalFormatting>
  <conditionalFormatting sqref="T118">
    <cfRule type="cellIs" dxfId="2946" priority="7090" operator="greaterThan">
      <formula>30</formula>
    </cfRule>
  </conditionalFormatting>
  <conditionalFormatting sqref="C119">
    <cfRule type="cellIs" dxfId="2945" priority="7091" operator="lessThan">
      <formula>0</formula>
    </cfRule>
  </conditionalFormatting>
  <conditionalFormatting sqref="C119">
    <cfRule type="cellIs" dxfId="2944" priority="7092" operator="greaterThan">
      <formula>100</formula>
    </cfRule>
  </conditionalFormatting>
  <conditionalFormatting sqref="F119">
    <cfRule type="cellIs" dxfId="2943" priority="7093" operator="lessThan">
      <formula>0</formula>
    </cfRule>
  </conditionalFormatting>
  <conditionalFormatting sqref="F119">
    <cfRule type="cellIs" dxfId="2942" priority="7094" operator="greaterThan">
      <formula>70</formula>
    </cfRule>
  </conditionalFormatting>
  <conditionalFormatting sqref="G119">
    <cfRule type="cellIs" dxfId="2941" priority="7095" operator="lessThan">
      <formula>0</formula>
    </cfRule>
  </conditionalFormatting>
  <conditionalFormatting sqref="G119">
    <cfRule type="cellIs" dxfId="2940" priority="7096" operator="greaterThan">
      <formula>70</formula>
    </cfRule>
  </conditionalFormatting>
  <conditionalFormatting sqref="H119">
    <cfRule type="cellIs" dxfId="2939" priority="7097" operator="lessThan">
      <formula>0</formula>
    </cfRule>
  </conditionalFormatting>
  <conditionalFormatting sqref="H119">
    <cfRule type="cellIs" dxfId="2938" priority="7098" operator="greaterThan">
      <formula>70</formula>
    </cfRule>
  </conditionalFormatting>
  <conditionalFormatting sqref="I119">
    <cfRule type="cellIs" dxfId="2937" priority="7099" operator="lessThan">
      <formula>0</formula>
    </cfRule>
  </conditionalFormatting>
  <conditionalFormatting sqref="I119">
    <cfRule type="cellIs" dxfId="2936" priority="7100" operator="greaterThan">
      <formula>70</formula>
    </cfRule>
  </conditionalFormatting>
  <conditionalFormatting sqref="J119">
    <cfRule type="cellIs" dxfId="2935" priority="7101" operator="lessThan">
      <formula>0</formula>
    </cfRule>
  </conditionalFormatting>
  <conditionalFormatting sqref="J119">
    <cfRule type="cellIs" dxfId="2934" priority="7102" operator="greaterThan">
      <formula>70</formula>
    </cfRule>
  </conditionalFormatting>
  <conditionalFormatting sqref="K119">
    <cfRule type="cellIs" dxfId="2933" priority="7103" operator="lessThan">
      <formula>0</formula>
    </cfRule>
  </conditionalFormatting>
  <conditionalFormatting sqref="K119">
    <cfRule type="cellIs" dxfId="2932" priority="7104" operator="greaterThan">
      <formula>70</formula>
    </cfRule>
  </conditionalFormatting>
  <conditionalFormatting sqref="S119">
    <cfRule type="cellIs" dxfId="2931" priority="7105" operator="lessThan">
      <formula>0</formula>
    </cfRule>
  </conditionalFormatting>
  <conditionalFormatting sqref="S119">
    <cfRule type="cellIs" dxfId="2930" priority="7106" operator="greaterThan">
      <formula>70</formula>
    </cfRule>
  </conditionalFormatting>
  <conditionalFormatting sqref="T119">
    <cfRule type="cellIs" dxfId="2929" priority="7107" operator="lessThan">
      <formula>0</formula>
    </cfRule>
  </conditionalFormatting>
  <conditionalFormatting sqref="T119">
    <cfRule type="cellIs" dxfId="2928" priority="7108" operator="greaterThan">
      <formula>30</formula>
    </cfRule>
  </conditionalFormatting>
  <conditionalFormatting sqref="C120">
    <cfRule type="cellIs" dxfId="2927" priority="7109" operator="lessThan">
      <formula>0</formula>
    </cfRule>
  </conditionalFormatting>
  <conditionalFormatting sqref="C120">
    <cfRule type="cellIs" dxfId="2926" priority="7110" operator="greaterThan">
      <formula>100</formula>
    </cfRule>
  </conditionalFormatting>
  <conditionalFormatting sqref="F120">
    <cfRule type="cellIs" dxfId="2925" priority="7111" operator="lessThan">
      <formula>0</formula>
    </cfRule>
  </conditionalFormatting>
  <conditionalFormatting sqref="F120">
    <cfRule type="cellIs" dxfId="2924" priority="7112" operator="greaterThan">
      <formula>70</formula>
    </cfRule>
  </conditionalFormatting>
  <conditionalFormatting sqref="G120">
    <cfRule type="cellIs" dxfId="2923" priority="7113" operator="lessThan">
      <formula>0</formula>
    </cfRule>
  </conditionalFormatting>
  <conditionalFormatting sqref="G120">
    <cfRule type="cellIs" dxfId="2922" priority="7114" operator="greaterThan">
      <formula>70</formula>
    </cfRule>
  </conditionalFormatting>
  <conditionalFormatting sqref="H120">
    <cfRule type="cellIs" dxfId="2921" priority="7115" operator="lessThan">
      <formula>0</formula>
    </cfRule>
  </conditionalFormatting>
  <conditionalFormatting sqref="H120">
    <cfRule type="cellIs" dxfId="2920" priority="7116" operator="greaterThan">
      <formula>70</formula>
    </cfRule>
  </conditionalFormatting>
  <conditionalFormatting sqref="I120">
    <cfRule type="cellIs" dxfId="2919" priority="7117" operator="lessThan">
      <formula>0</formula>
    </cfRule>
  </conditionalFormatting>
  <conditionalFormatting sqref="I120">
    <cfRule type="cellIs" dxfId="2918" priority="7118" operator="greaterThan">
      <formula>70</formula>
    </cfRule>
  </conditionalFormatting>
  <conditionalFormatting sqref="J120">
    <cfRule type="cellIs" dxfId="2917" priority="7119" operator="lessThan">
      <formula>0</formula>
    </cfRule>
  </conditionalFormatting>
  <conditionalFormatting sqref="J120">
    <cfRule type="cellIs" dxfId="2916" priority="7120" operator="greaterThan">
      <formula>70</formula>
    </cfRule>
  </conditionalFormatting>
  <conditionalFormatting sqref="K120">
    <cfRule type="cellIs" dxfId="2915" priority="7121" operator="lessThan">
      <formula>0</formula>
    </cfRule>
  </conditionalFormatting>
  <conditionalFormatting sqref="K120">
    <cfRule type="cellIs" dxfId="2914" priority="7122" operator="greaterThan">
      <formula>70</formula>
    </cfRule>
  </conditionalFormatting>
  <conditionalFormatting sqref="S120">
    <cfRule type="cellIs" dxfId="2913" priority="7123" operator="lessThan">
      <formula>0</formula>
    </cfRule>
  </conditionalFormatting>
  <conditionalFormatting sqref="S120">
    <cfRule type="cellIs" dxfId="2912" priority="7124" operator="greaterThan">
      <formula>70</formula>
    </cfRule>
  </conditionalFormatting>
  <conditionalFormatting sqref="T120">
    <cfRule type="cellIs" dxfId="2911" priority="7125" operator="lessThan">
      <formula>0</formula>
    </cfRule>
  </conditionalFormatting>
  <conditionalFormatting sqref="T120">
    <cfRule type="cellIs" dxfId="2910" priority="7126" operator="greaterThan">
      <formula>30</formula>
    </cfRule>
  </conditionalFormatting>
  <conditionalFormatting sqref="C121">
    <cfRule type="cellIs" dxfId="2909" priority="7127" operator="lessThan">
      <formula>0</formula>
    </cfRule>
  </conditionalFormatting>
  <conditionalFormatting sqref="C121">
    <cfRule type="cellIs" dxfId="2908" priority="7128" operator="greaterThan">
      <formula>100</formula>
    </cfRule>
  </conditionalFormatting>
  <conditionalFormatting sqref="F121">
    <cfRule type="cellIs" dxfId="2907" priority="7129" operator="lessThan">
      <formula>0</formula>
    </cfRule>
  </conditionalFormatting>
  <conditionalFormatting sqref="F121">
    <cfRule type="cellIs" dxfId="2906" priority="7130" operator="greaterThan">
      <formula>70</formula>
    </cfRule>
  </conditionalFormatting>
  <conditionalFormatting sqref="G121">
    <cfRule type="cellIs" dxfId="2905" priority="7131" operator="lessThan">
      <formula>0</formula>
    </cfRule>
  </conditionalFormatting>
  <conditionalFormatting sqref="G121">
    <cfRule type="cellIs" dxfId="2904" priority="7132" operator="greaterThan">
      <formula>70</formula>
    </cfRule>
  </conditionalFormatting>
  <conditionalFormatting sqref="H121">
    <cfRule type="cellIs" dxfId="2903" priority="7133" operator="lessThan">
      <formula>0</formula>
    </cfRule>
  </conditionalFormatting>
  <conditionalFormatting sqref="H121">
    <cfRule type="cellIs" dxfId="2902" priority="7134" operator="greaterThan">
      <formula>70</formula>
    </cfRule>
  </conditionalFormatting>
  <conditionalFormatting sqref="I121">
    <cfRule type="cellIs" dxfId="2901" priority="7135" operator="lessThan">
      <formula>0</formula>
    </cfRule>
  </conditionalFormatting>
  <conditionalFormatting sqref="I121">
    <cfRule type="cellIs" dxfId="2900" priority="7136" operator="greaterThan">
      <formula>70</formula>
    </cfRule>
  </conditionalFormatting>
  <conditionalFormatting sqref="J121">
    <cfRule type="cellIs" dxfId="2899" priority="7137" operator="lessThan">
      <formula>0</formula>
    </cfRule>
  </conditionalFormatting>
  <conditionalFormatting sqref="J121">
    <cfRule type="cellIs" dxfId="2898" priority="7138" operator="greaterThan">
      <formula>70</formula>
    </cfRule>
  </conditionalFormatting>
  <conditionalFormatting sqref="K121">
    <cfRule type="cellIs" dxfId="2897" priority="7139" operator="lessThan">
      <formula>0</formula>
    </cfRule>
  </conditionalFormatting>
  <conditionalFormatting sqref="K121">
    <cfRule type="cellIs" dxfId="2896" priority="7140" operator="greaterThan">
      <formula>70</formula>
    </cfRule>
  </conditionalFormatting>
  <conditionalFormatting sqref="S121">
    <cfRule type="cellIs" dxfId="2895" priority="7141" operator="lessThan">
      <formula>0</formula>
    </cfRule>
  </conditionalFormatting>
  <conditionalFormatting sqref="S121">
    <cfRule type="cellIs" dxfId="2894" priority="7142" operator="greaterThan">
      <formula>70</formula>
    </cfRule>
  </conditionalFormatting>
  <conditionalFormatting sqref="T121">
    <cfRule type="cellIs" dxfId="2893" priority="7143" operator="lessThan">
      <formula>0</formula>
    </cfRule>
  </conditionalFormatting>
  <conditionalFormatting sqref="T121">
    <cfRule type="cellIs" dxfId="2892" priority="7144" operator="greaterThan">
      <formula>30</formula>
    </cfRule>
  </conditionalFormatting>
  <conditionalFormatting sqref="C122">
    <cfRule type="cellIs" dxfId="2891" priority="7145" operator="lessThan">
      <formula>0</formula>
    </cfRule>
  </conditionalFormatting>
  <conditionalFormatting sqref="C122">
    <cfRule type="cellIs" dxfId="2890" priority="7146" operator="greaterThan">
      <formula>100</formula>
    </cfRule>
  </conditionalFormatting>
  <conditionalFormatting sqref="F122">
    <cfRule type="cellIs" dxfId="2889" priority="7147" operator="lessThan">
      <formula>0</formula>
    </cfRule>
  </conditionalFormatting>
  <conditionalFormatting sqref="F122">
    <cfRule type="cellIs" dxfId="2888" priority="7148" operator="greaterThan">
      <formula>70</formula>
    </cfRule>
  </conditionalFormatting>
  <conditionalFormatting sqref="G122">
    <cfRule type="cellIs" dxfId="2887" priority="7149" operator="lessThan">
      <formula>0</formula>
    </cfRule>
  </conditionalFormatting>
  <conditionalFormatting sqref="G122">
    <cfRule type="cellIs" dxfId="2886" priority="7150" operator="greaterThan">
      <formula>70</formula>
    </cfRule>
  </conditionalFormatting>
  <conditionalFormatting sqref="H122">
    <cfRule type="cellIs" dxfId="2885" priority="7151" operator="lessThan">
      <formula>0</formula>
    </cfRule>
  </conditionalFormatting>
  <conditionalFormatting sqref="H122">
    <cfRule type="cellIs" dxfId="2884" priority="7152" operator="greaterThan">
      <formula>70</formula>
    </cfRule>
  </conditionalFormatting>
  <conditionalFormatting sqref="I122">
    <cfRule type="cellIs" dxfId="2883" priority="7153" operator="lessThan">
      <formula>0</formula>
    </cfRule>
  </conditionalFormatting>
  <conditionalFormatting sqref="I122">
    <cfRule type="cellIs" dxfId="2882" priority="7154" operator="greaterThan">
      <formula>70</formula>
    </cfRule>
  </conditionalFormatting>
  <conditionalFormatting sqref="J122">
    <cfRule type="cellIs" dxfId="2881" priority="7155" operator="lessThan">
      <formula>0</formula>
    </cfRule>
  </conditionalFormatting>
  <conditionalFormatting sqref="J122">
    <cfRule type="cellIs" dxfId="2880" priority="7156" operator="greaterThan">
      <formula>70</formula>
    </cfRule>
  </conditionalFormatting>
  <conditionalFormatting sqref="K122">
    <cfRule type="cellIs" dxfId="2879" priority="7157" operator="lessThan">
      <formula>0</formula>
    </cfRule>
  </conditionalFormatting>
  <conditionalFormatting sqref="K122">
    <cfRule type="cellIs" dxfId="2878" priority="7158" operator="greaterThan">
      <formula>70</formula>
    </cfRule>
  </conditionalFormatting>
  <conditionalFormatting sqref="S122">
    <cfRule type="cellIs" dxfId="2877" priority="7159" operator="lessThan">
      <formula>0</formula>
    </cfRule>
  </conditionalFormatting>
  <conditionalFormatting sqref="S122">
    <cfRule type="cellIs" dxfId="2876" priority="7160" operator="greaterThan">
      <formula>70</formula>
    </cfRule>
  </conditionalFormatting>
  <conditionalFormatting sqref="T122">
    <cfRule type="cellIs" dxfId="2875" priority="7161" operator="lessThan">
      <formula>0</formula>
    </cfRule>
  </conditionalFormatting>
  <conditionalFormatting sqref="T122">
    <cfRule type="cellIs" dxfId="2874" priority="7162" operator="greaterThan">
      <formula>30</formula>
    </cfRule>
  </conditionalFormatting>
  <conditionalFormatting sqref="C123">
    <cfRule type="cellIs" dxfId="2873" priority="7163" operator="lessThan">
      <formula>0</formula>
    </cfRule>
  </conditionalFormatting>
  <conditionalFormatting sqref="C123">
    <cfRule type="cellIs" dxfId="2872" priority="7164" operator="greaterThan">
      <formula>100</formula>
    </cfRule>
  </conditionalFormatting>
  <conditionalFormatting sqref="F123">
    <cfRule type="cellIs" dxfId="2871" priority="7165" operator="lessThan">
      <formula>0</formula>
    </cfRule>
  </conditionalFormatting>
  <conditionalFormatting sqref="F123">
    <cfRule type="cellIs" dxfId="2870" priority="7166" operator="greaterThan">
      <formula>70</formula>
    </cfRule>
  </conditionalFormatting>
  <conditionalFormatting sqref="G123">
    <cfRule type="cellIs" dxfId="2869" priority="7167" operator="lessThan">
      <formula>0</formula>
    </cfRule>
  </conditionalFormatting>
  <conditionalFormatting sqref="G123">
    <cfRule type="cellIs" dxfId="2868" priority="7168" operator="greaterThan">
      <formula>70</formula>
    </cfRule>
  </conditionalFormatting>
  <conditionalFormatting sqref="H123">
    <cfRule type="cellIs" dxfId="2867" priority="7169" operator="lessThan">
      <formula>0</formula>
    </cfRule>
  </conditionalFormatting>
  <conditionalFormatting sqref="H123">
    <cfRule type="cellIs" dxfId="2866" priority="7170" operator="greaterThan">
      <formula>70</formula>
    </cfRule>
  </conditionalFormatting>
  <conditionalFormatting sqref="I123">
    <cfRule type="cellIs" dxfId="2865" priority="7171" operator="lessThan">
      <formula>0</formula>
    </cfRule>
  </conditionalFormatting>
  <conditionalFormatting sqref="I123">
    <cfRule type="cellIs" dxfId="2864" priority="7172" operator="greaterThan">
      <formula>70</formula>
    </cfRule>
  </conditionalFormatting>
  <conditionalFormatting sqref="J123">
    <cfRule type="cellIs" dxfId="2863" priority="7173" operator="lessThan">
      <formula>0</formula>
    </cfRule>
  </conditionalFormatting>
  <conditionalFormatting sqref="J123">
    <cfRule type="cellIs" dxfId="2862" priority="7174" operator="greaterThan">
      <formula>70</formula>
    </cfRule>
  </conditionalFormatting>
  <conditionalFormatting sqref="K123">
    <cfRule type="cellIs" dxfId="2861" priority="7175" operator="lessThan">
      <formula>0</formula>
    </cfRule>
  </conditionalFormatting>
  <conditionalFormatting sqref="K123">
    <cfRule type="cellIs" dxfId="2860" priority="7176" operator="greaterThan">
      <formula>70</formula>
    </cfRule>
  </conditionalFormatting>
  <conditionalFormatting sqref="S123">
    <cfRule type="cellIs" dxfId="2859" priority="7177" operator="lessThan">
      <formula>0</formula>
    </cfRule>
  </conditionalFormatting>
  <conditionalFormatting sqref="S123">
    <cfRule type="cellIs" dxfId="2858" priority="7178" operator="greaterThan">
      <formula>70</formula>
    </cfRule>
  </conditionalFormatting>
  <conditionalFormatting sqref="T123">
    <cfRule type="cellIs" dxfId="2857" priority="7179" operator="lessThan">
      <formula>0</formula>
    </cfRule>
  </conditionalFormatting>
  <conditionalFormatting sqref="T123">
    <cfRule type="cellIs" dxfId="2856" priority="7180" operator="greaterThan">
      <formula>30</formula>
    </cfRule>
  </conditionalFormatting>
  <conditionalFormatting sqref="C124">
    <cfRule type="cellIs" dxfId="2855" priority="7181" operator="lessThan">
      <formula>0</formula>
    </cfRule>
  </conditionalFormatting>
  <conditionalFormatting sqref="C124">
    <cfRule type="cellIs" dxfId="2854" priority="7182" operator="greaterThan">
      <formula>100</formula>
    </cfRule>
  </conditionalFormatting>
  <conditionalFormatting sqref="F124">
    <cfRule type="cellIs" dxfId="2853" priority="7183" operator="lessThan">
      <formula>0</formula>
    </cfRule>
  </conditionalFormatting>
  <conditionalFormatting sqref="F124">
    <cfRule type="cellIs" dxfId="2852" priority="7184" operator="greaterThan">
      <formula>70</formula>
    </cfRule>
  </conditionalFormatting>
  <conditionalFormatting sqref="G124">
    <cfRule type="cellIs" dxfId="2851" priority="7185" operator="lessThan">
      <formula>0</formula>
    </cfRule>
  </conditionalFormatting>
  <conditionalFormatting sqref="G124">
    <cfRule type="cellIs" dxfId="2850" priority="7186" operator="greaterThan">
      <formula>70</formula>
    </cfRule>
  </conditionalFormatting>
  <conditionalFormatting sqref="H124">
    <cfRule type="cellIs" dxfId="2849" priority="7187" operator="lessThan">
      <formula>0</formula>
    </cfRule>
  </conditionalFormatting>
  <conditionalFormatting sqref="H124">
    <cfRule type="cellIs" dxfId="2848" priority="7188" operator="greaterThan">
      <formula>70</formula>
    </cfRule>
  </conditionalFormatting>
  <conditionalFormatting sqref="I124">
    <cfRule type="cellIs" dxfId="2847" priority="7189" operator="lessThan">
      <formula>0</formula>
    </cfRule>
  </conditionalFormatting>
  <conditionalFormatting sqref="I124">
    <cfRule type="cellIs" dxfId="2846" priority="7190" operator="greaterThan">
      <formula>70</formula>
    </cfRule>
  </conditionalFormatting>
  <conditionalFormatting sqref="J124">
    <cfRule type="cellIs" dxfId="2845" priority="7191" operator="lessThan">
      <formula>0</formula>
    </cfRule>
  </conditionalFormatting>
  <conditionalFormatting sqref="J124">
    <cfRule type="cellIs" dxfId="2844" priority="7192" operator="greaterThan">
      <formula>70</formula>
    </cfRule>
  </conditionalFormatting>
  <conditionalFormatting sqref="K124">
    <cfRule type="cellIs" dxfId="2843" priority="7193" operator="lessThan">
      <formula>0</formula>
    </cfRule>
  </conditionalFormatting>
  <conditionalFormatting sqref="K124">
    <cfRule type="cellIs" dxfId="2842" priority="7194" operator="greaterThan">
      <formula>70</formula>
    </cfRule>
  </conditionalFormatting>
  <conditionalFormatting sqref="S124">
    <cfRule type="cellIs" dxfId="2841" priority="7195" operator="lessThan">
      <formula>0</formula>
    </cfRule>
  </conditionalFormatting>
  <conditionalFormatting sqref="S124">
    <cfRule type="cellIs" dxfId="2840" priority="7196" operator="greaterThan">
      <formula>70</formula>
    </cfRule>
  </conditionalFormatting>
  <conditionalFormatting sqref="T124">
    <cfRule type="cellIs" dxfId="2839" priority="7197" operator="lessThan">
      <formula>0</formula>
    </cfRule>
  </conditionalFormatting>
  <conditionalFormatting sqref="T124">
    <cfRule type="cellIs" dxfId="2838" priority="7198" operator="greaterThan">
      <formula>30</formula>
    </cfRule>
  </conditionalFormatting>
  <conditionalFormatting sqref="C125">
    <cfRule type="cellIs" dxfId="2837" priority="7199" operator="lessThan">
      <formula>0</formula>
    </cfRule>
  </conditionalFormatting>
  <conditionalFormatting sqref="C125">
    <cfRule type="cellIs" dxfId="2836" priority="7200" operator="greaterThan">
      <formula>100</formula>
    </cfRule>
  </conditionalFormatting>
  <conditionalFormatting sqref="F125">
    <cfRule type="cellIs" dxfId="2835" priority="7201" operator="lessThan">
      <formula>0</formula>
    </cfRule>
  </conditionalFormatting>
  <conditionalFormatting sqref="F125">
    <cfRule type="cellIs" dxfId="2834" priority="7202" operator="greaterThan">
      <formula>70</formula>
    </cfRule>
  </conditionalFormatting>
  <conditionalFormatting sqref="G125">
    <cfRule type="cellIs" dxfId="2833" priority="7203" operator="lessThan">
      <formula>0</formula>
    </cfRule>
  </conditionalFormatting>
  <conditionalFormatting sqref="G125">
    <cfRule type="cellIs" dxfId="2832" priority="7204" operator="greaterThan">
      <formula>70</formula>
    </cfRule>
  </conditionalFormatting>
  <conditionalFormatting sqref="H125">
    <cfRule type="cellIs" dxfId="2831" priority="7205" operator="lessThan">
      <formula>0</formula>
    </cfRule>
  </conditionalFormatting>
  <conditionalFormatting sqref="H125">
    <cfRule type="cellIs" dxfId="2830" priority="7206" operator="greaterThan">
      <formula>70</formula>
    </cfRule>
  </conditionalFormatting>
  <conditionalFormatting sqref="I125">
    <cfRule type="cellIs" dxfId="2829" priority="7207" operator="lessThan">
      <formula>0</formula>
    </cfRule>
  </conditionalFormatting>
  <conditionalFormatting sqref="I125">
    <cfRule type="cellIs" dxfId="2828" priority="7208" operator="greaterThan">
      <formula>70</formula>
    </cfRule>
  </conditionalFormatting>
  <conditionalFormatting sqref="J125">
    <cfRule type="cellIs" dxfId="2827" priority="7209" operator="lessThan">
      <formula>0</formula>
    </cfRule>
  </conditionalFormatting>
  <conditionalFormatting sqref="J125">
    <cfRule type="cellIs" dxfId="2826" priority="7210" operator="greaterThan">
      <formula>70</formula>
    </cfRule>
  </conditionalFormatting>
  <conditionalFormatting sqref="K125">
    <cfRule type="cellIs" dxfId="2825" priority="7211" operator="lessThan">
      <formula>0</formula>
    </cfRule>
  </conditionalFormatting>
  <conditionalFormatting sqref="K125">
    <cfRule type="cellIs" dxfId="2824" priority="7212" operator="greaterThan">
      <formula>70</formula>
    </cfRule>
  </conditionalFormatting>
  <conditionalFormatting sqref="S125">
    <cfRule type="cellIs" dxfId="2823" priority="7213" operator="lessThan">
      <formula>0</formula>
    </cfRule>
  </conditionalFormatting>
  <conditionalFormatting sqref="S125">
    <cfRule type="cellIs" dxfId="2822" priority="7214" operator="greaterThan">
      <formula>70</formula>
    </cfRule>
  </conditionalFormatting>
  <conditionalFormatting sqref="T125">
    <cfRule type="cellIs" dxfId="2821" priority="7215" operator="lessThan">
      <formula>0</formula>
    </cfRule>
  </conditionalFormatting>
  <conditionalFormatting sqref="T125">
    <cfRule type="cellIs" dxfId="2820" priority="7216" operator="greaterThan">
      <formula>30</formula>
    </cfRule>
  </conditionalFormatting>
  <conditionalFormatting sqref="C126">
    <cfRule type="cellIs" dxfId="2819" priority="7217" operator="lessThan">
      <formula>0</formula>
    </cfRule>
  </conditionalFormatting>
  <conditionalFormatting sqref="C126">
    <cfRule type="cellIs" dxfId="2818" priority="7218" operator="greaterThan">
      <formula>100</formula>
    </cfRule>
  </conditionalFormatting>
  <conditionalFormatting sqref="F126">
    <cfRule type="cellIs" dxfId="2817" priority="7219" operator="lessThan">
      <formula>0</formula>
    </cfRule>
  </conditionalFormatting>
  <conditionalFormatting sqref="F126">
    <cfRule type="cellIs" dxfId="2816" priority="7220" operator="greaterThan">
      <formula>70</formula>
    </cfRule>
  </conditionalFormatting>
  <conditionalFormatting sqref="G126">
    <cfRule type="cellIs" dxfId="2815" priority="7221" operator="lessThan">
      <formula>0</formula>
    </cfRule>
  </conditionalFormatting>
  <conditionalFormatting sqref="G126">
    <cfRule type="cellIs" dxfId="2814" priority="7222" operator="greaterThan">
      <formula>70</formula>
    </cfRule>
  </conditionalFormatting>
  <conditionalFormatting sqref="H126">
    <cfRule type="cellIs" dxfId="2813" priority="7223" operator="lessThan">
      <formula>0</formula>
    </cfRule>
  </conditionalFormatting>
  <conditionalFormatting sqref="H126">
    <cfRule type="cellIs" dxfId="2812" priority="7224" operator="greaterThan">
      <formula>70</formula>
    </cfRule>
  </conditionalFormatting>
  <conditionalFormatting sqref="I126">
    <cfRule type="cellIs" dxfId="2811" priority="7225" operator="lessThan">
      <formula>0</formula>
    </cfRule>
  </conditionalFormatting>
  <conditionalFormatting sqref="I126">
    <cfRule type="cellIs" dxfId="2810" priority="7226" operator="greaterThan">
      <formula>70</formula>
    </cfRule>
  </conditionalFormatting>
  <conditionalFormatting sqref="J126">
    <cfRule type="cellIs" dxfId="2809" priority="7227" operator="lessThan">
      <formula>0</formula>
    </cfRule>
  </conditionalFormatting>
  <conditionalFormatting sqref="J126">
    <cfRule type="cellIs" dxfId="2808" priority="7228" operator="greaterThan">
      <formula>70</formula>
    </cfRule>
  </conditionalFormatting>
  <conditionalFormatting sqref="K126">
    <cfRule type="cellIs" dxfId="2807" priority="7229" operator="lessThan">
      <formula>0</formula>
    </cfRule>
  </conditionalFormatting>
  <conditionalFormatting sqref="K126">
    <cfRule type="cellIs" dxfId="2806" priority="7230" operator="greaterThan">
      <formula>70</formula>
    </cfRule>
  </conditionalFormatting>
  <conditionalFormatting sqref="S126">
    <cfRule type="cellIs" dxfId="2805" priority="7231" operator="lessThan">
      <formula>0</formula>
    </cfRule>
  </conditionalFormatting>
  <conditionalFormatting sqref="S126">
    <cfRule type="cellIs" dxfId="2804" priority="7232" operator="greaterThan">
      <formula>70</formula>
    </cfRule>
  </conditionalFormatting>
  <conditionalFormatting sqref="T126">
    <cfRule type="cellIs" dxfId="2803" priority="7233" operator="lessThan">
      <formula>0</formula>
    </cfRule>
  </conditionalFormatting>
  <conditionalFormatting sqref="T126">
    <cfRule type="cellIs" dxfId="2802" priority="7234" operator="greaterThan">
      <formula>30</formula>
    </cfRule>
  </conditionalFormatting>
  <conditionalFormatting sqref="C127">
    <cfRule type="cellIs" dxfId="2801" priority="7235" operator="lessThan">
      <formula>0</formula>
    </cfRule>
  </conditionalFormatting>
  <conditionalFormatting sqref="C127">
    <cfRule type="cellIs" dxfId="2800" priority="7236" operator="greaterThan">
      <formula>100</formula>
    </cfRule>
  </conditionalFormatting>
  <conditionalFormatting sqref="F127">
    <cfRule type="cellIs" dxfId="2799" priority="7237" operator="lessThan">
      <formula>0</formula>
    </cfRule>
  </conditionalFormatting>
  <conditionalFormatting sqref="F127">
    <cfRule type="cellIs" dxfId="2798" priority="7238" operator="greaterThan">
      <formula>70</formula>
    </cfRule>
  </conditionalFormatting>
  <conditionalFormatting sqref="G127">
    <cfRule type="cellIs" dxfId="2797" priority="7239" operator="lessThan">
      <formula>0</formula>
    </cfRule>
  </conditionalFormatting>
  <conditionalFormatting sqref="G127">
    <cfRule type="cellIs" dxfId="2796" priority="7240" operator="greaterThan">
      <formula>70</formula>
    </cfRule>
  </conditionalFormatting>
  <conditionalFormatting sqref="H127">
    <cfRule type="cellIs" dxfId="2795" priority="7241" operator="lessThan">
      <formula>0</formula>
    </cfRule>
  </conditionalFormatting>
  <conditionalFormatting sqref="H127">
    <cfRule type="cellIs" dxfId="2794" priority="7242" operator="greaterThan">
      <formula>70</formula>
    </cfRule>
  </conditionalFormatting>
  <conditionalFormatting sqref="I127">
    <cfRule type="cellIs" dxfId="2793" priority="7243" operator="lessThan">
      <formula>0</formula>
    </cfRule>
  </conditionalFormatting>
  <conditionalFormatting sqref="I127">
    <cfRule type="cellIs" dxfId="2792" priority="7244" operator="greaterThan">
      <formula>70</formula>
    </cfRule>
  </conditionalFormatting>
  <conditionalFormatting sqref="J127">
    <cfRule type="cellIs" dxfId="2791" priority="7245" operator="lessThan">
      <formula>0</formula>
    </cfRule>
  </conditionalFormatting>
  <conditionalFormatting sqref="J127">
    <cfRule type="cellIs" dxfId="2790" priority="7246" operator="greaterThan">
      <formula>70</formula>
    </cfRule>
  </conditionalFormatting>
  <conditionalFormatting sqref="K127">
    <cfRule type="cellIs" dxfId="2789" priority="7247" operator="lessThan">
      <formula>0</formula>
    </cfRule>
  </conditionalFormatting>
  <conditionalFormatting sqref="K127">
    <cfRule type="cellIs" dxfId="2788" priority="7248" operator="greaterThan">
      <formula>70</formula>
    </cfRule>
  </conditionalFormatting>
  <conditionalFormatting sqref="S127">
    <cfRule type="cellIs" dxfId="2787" priority="7249" operator="lessThan">
      <formula>0</formula>
    </cfRule>
  </conditionalFormatting>
  <conditionalFormatting sqref="S127">
    <cfRule type="cellIs" dxfId="2786" priority="7250" operator="greaterThan">
      <formula>70</formula>
    </cfRule>
  </conditionalFormatting>
  <conditionalFormatting sqref="T127">
    <cfRule type="cellIs" dxfId="2785" priority="7251" operator="lessThan">
      <formula>0</formula>
    </cfRule>
  </conditionalFormatting>
  <conditionalFormatting sqref="T127">
    <cfRule type="cellIs" dxfId="2784" priority="7252" operator="greaterThan">
      <formula>30</formula>
    </cfRule>
  </conditionalFormatting>
  <conditionalFormatting sqref="C128">
    <cfRule type="cellIs" dxfId="2783" priority="7253" operator="lessThan">
      <formula>0</formula>
    </cfRule>
  </conditionalFormatting>
  <conditionalFormatting sqref="C128">
    <cfRule type="cellIs" dxfId="2782" priority="7254" operator="greaterThan">
      <formula>100</formula>
    </cfRule>
  </conditionalFormatting>
  <conditionalFormatting sqref="F128">
    <cfRule type="cellIs" dxfId="2781" priority="7255" operator="lessThan">
      <formula>0</formula>
    </cfRule>
  </conditionalFormatting>
  <conditionalFormatting sqref="F128">
    <cfRule type="cellIs" dxfId="2780" priority="7256" operator="greaterThan">
      <formula>70</formula>
    </cfRule>
  </conditionalFormatting>
  <conditionalFormatting sqref="G128">
    <cfRule type="cellIs" dxfId="2779" priority="7257" operator="lessThan">
      <formula>0</formula>
    </cfRule>
  </conditionalFormatting>
  <conditionalFormatting sqref="G128">
    <cfRule type="cellIs" dxfId="2778" priority="7258" operator="greaterThan">
      <formula>70</formula>
    </cfRule>
  </conditionalFormatting>
  <conditionalFormatting sqref="H128">
    <cfRule type="cellIs" dxfId="2777" priority="7259" operator="lessThan">
      <formula>0</formula>
    </cfRule>
  </conditionalFormatting>
  <conditionalFormatting sqref="H128">
    <cfRule type="cellIs" dxfId="2776" priority="7260" operator="greaterThan">
      <formula>70</formula>
    </cfRule>
  </conditionalFormatting>
  <conditionalFormatting sqref="I128">
    <cfRule type="cellIs" dxfId="2775" priority="7261" operator="lessThan">
      <formula>0</formula>
    </cfRule>
  </conditionalFormatting>
  <conditionalFormatting sqref="I128">
    <cfRule type="cellIs" dxfId="2774" priority="7262" operator="greaterThan">
      <formula>70</formula>
    </cfRule>
  </conditionalFormatting>
  <conditionalFormatting sqref="J128">
    <cfRule type="cellIs" dxfId="2773" priority="7263" operator="lessThan">
      <formula>0</formula>
    </cfRule>
  </conditionalFormatting>
  <conditionalFormatting sqref="J128">
    <cfRule type="cellIs" dxfId="2772" priority="7264" operator="greaterThan">
      <formula>70</formula>
    </cfRule>
  </conditionalFormatting>
  <conditionalFormatting sqref="K128">
    <cfRule type="cellIs" dxfId="2771" priority="7265" operator="lessThan">
      <formula>0</formula>
    </cfRule>
  </conditionalFormatting>
  <conditionalFormatting sqref="K128">
    <cfRule type="cellIs" dxfId="2770" priority="7266" operator="greaterThan">
      <formula>70</formula>
    </cfRule>
  </conditionalFormatting>
  <conditionalFormatting sqref="S128">
    <cfRule type="cellIs" dxfId="2769" priority="7267" operator="lessThan">
      <formula>0</formula>
    </cfRule>
  </conditionalFormatting>
  <conditionalFormatting sqref="S128">
    <cfRule type="cellIs" dxfId="2768" priority="7268" operator="greaterThan">
      <formula>70</formula>
    </cfRule>
  </conditionalFormatting>
  <conditionalFormatting sqref="T128">
    <cfRule type="cellIs" dxfId="2767" priority="7269" operator="lessThan">
      <formula>0</formula>
    </cfRule>
  </conditionalFormatting>
  <conditionalFormatting sqref="T128">
    <cfRule type="cellIs" dxfId="2766" priority="7270" operator="greaterThan">
      <formula>30</formula>
    </cfRule>
  </conditionalFormatting>
  <conditionalFormatting sqref="C129">
    <cfRule type="cellIs" dxfId="2765" priority="7271" operator="lessThan">
      <formula>0</formula>
    </cfRule>
  </conditionalFormatting>
  <conditionalFormatting sqref="C129">
    <cfRule type="cellIs" dxfId="2764" priority="7272" operator="greaterThan">
      <formula>100</formula>
    </cfRule>
  </conditionalFormatting>
  <conditionalFormatting sqref="F129">
    <cfRule type="cellIs" dxfId="2763" priority="7273" operator="lessThan">
      <formula>0</formula>
    </cfRule>
  </conditionalFormatting>
  <conditionalFormatting sqref="F129">
    <cfRule type="cellIs" dxfId="2762" priority="7274" operator="greaterThan">
      <formula>70</formula>
    </cfRule>
  </conditionalFormatting>
  <conditionalFormatting sqref="G129">
    <cfRule type="cellIs" dxfId="2761" priority="7275" operator="lessThan">
      <formula>0</formula>
    </cfRule>
  </conditionalFormatting>
  <conditionalFormatting sqref="G129">
    <cfRule type="cellIs" dxfId="2760" priority="7276" operator="greaterThan">
      <formula>70</formula>
    </cfRule>
  </conditionalFormatting>
  <conditionalFormatting sqref="H129">
    <cfRule type="cellIs" dxfId="2759" priority="7277" operator="lessThan">
      <formula>0</formula>
    </cfRule>
  </conditionalFormatting>
  <conditionalFormatting sqref="H129">
    <cfRule type="cellIs" dxfId="2758" priority="7278" operator="greaterThan">
      <formula>70</formula>
    </cfRule>
  </conditionalFormatting>
  <conditionalFormatting sqref="I129">
    <cfRule type="cellIs" dxfId="2757" priority="7279" operator="lessThan">
      <formula>0</formula>
    </cfRule>
  </conditionalFormatting>
  <conditionalFormatting sqref="I129">
    <cfRule type="cellIs" dxfId="2756" priority="7280" operator="greaterThan">
      <formula>70</formula>
    </cfRule>
  </conditionalFormatting>
  <conditionalFormatting sqref="J129">
    <cfRule type="cellIs" dxfId="2755" priority="7281" operator="lessThan">
      <formula>0</formula>
    </cfRule>
  </conditionalFormatting>
  <conditionalFormatting sqref="J129">
    <cfRule type="cellIs" dxfId="2754" priority="7282" operator="greaterThan">
      <formula>70</formula>
    </cfRule>
  </conditionalFormatting>
  <conditionalFormatting sqref="K129">
    <cfRule type="cellIs" dxfId="2753" priority="7283" operator="lessThan">
      <formula>0</formula>
    </cfRule>
  </conditionalFormatting>
  <conditionalFormatting sqref="K129">
    <cfRule type="cellIs" dxfId="2752" priority="7284" operator="greaterThan">
      <formula>70</formula>
    </cfRule>
  </conditionalFormatting>
  <conditionalFormatting sqref="S129">
    <cfRule type="cellIs" dxfId="2751" priority="7285" operator="lessThan">
      <formula>0</formula>
    </cfRule>
  </conditionalFormatting>
  <conditionalFormatting sqref="S129">
    <cfRule type="cellIs" dxfId="2750" priority="7286" operator="greaterThan">
      <formula>70</formula>
    </cfRule>
  </conditionalFormatting>
  <conditionalFormatting sqref="T129">
    <cfRule type="cellIs" dxfId="2749" priority="7287" operator="lessThan">
      <formula>0</formula>
    </cfRule>
  </conditionalFormatting>
  <conditionalFormatting sqref="T129">
    <cfRule type="cellIs" dxfId="2748" priority="7288" operator="greaterThan">
      <formula>30</formula>
    </cfRule>
  </conditionalFormatting>
  <conditionalFormatting sqref="C130">
    <cfRule type="cellIs" dxfId="2747" priority="7289" operator="lessThan">
      <formula>0</formula>
    </cfRule>
  </conditionalFormatting>
  <conditionalFormatting sqref="C130">
    <cfRule type="cellIs" dxfId="2746" priority="7290" operator="greaterThan">
      <formula>100</formula>
    </cfRule>
  </conditionalFormatting>
  <conditionalFormatting sqref="F130">
    <cfRule type="cellIs" dxfId="2745" priority="7291" operator="lessThan">
      <formula>0</formula>
    </cfRule>
  </conditionalFormatting>
  <conditionalFormatting sqref="F130">
    <cfRule type="cellIs" dxfId="2744" priority="7292" operator="greaterThan">
      <formula>70</formula>
    </cfRule>
  </conditionalFormatting>
  <conditionalFormatting sqref="G130">
    <cfRule type="cellIs" dxfId="2743" priority="7293" operator="lessThan">
      <formula>0</formula>
    </cfRule>
  </conditionalFormatting>
  <conditionalFormatting sqref="G130">
    <cfRule type="cellIs" dxfId="2742" priority="7294" operator="greaterThan">
      <formula>70</formula>
    </cfRule>
  </conditionalFormatting>
  <conditionalFormatting sqref="H130">
    <cfRule type="cellIs" dxfId="2741" priority="7295" operator="lessThan">
      <formula>0</formula>
    </cfRule>
  </conditionalFormatting>
  <conditionalFormatting sqref="H130">
    <cfRule type="cellIs" dxfId="2740" priority="7296" operator="greaterThan">
      <formula>70</formula>
    </cfRule>
  </conditionalFormatting>
  <conditionalFormatting sqref="I130">
    <cfRule type="cellIs" dxfId="2739" priority="7297" operator="lessThan">
      <formula>0</formula>
    </cfRule>
  </conditionalFormatting>
  <conditionalFormatting sqref="I130">
    <cfRule type="cellIs" dxfId="2738" priority="7298" operator="greaterThan">
      <formula>70</formula>
    </cfRule>
  </conditionalFormatting>
  <conditionalFormatting sqref="J130">
    <cfRule type="cellIs" dxfId="2737" priority="7299" operator="lessThan">
      <formula>0</formula>
    </cfRule>
  </conditionalFormatting>
  <conditionalFormatting sqref="J130">
    <cfRule type="cellIs" dxfId="2736" priority="7300" operator="greaterThan">
      <formula>70</formula>
    </cfRule>
  </conditionalFormatting>
  <conditionalFormatting sqref="K130">
    <cfRule type="cellIs" dxfId="2735" priority="7301" operator="lessThan">
      <formula>0</formula>
    </cfRule>
  </conditionalFormatting>
  <conditionalFormatting sqref="K130">
    <cfRule type="cellIs" dxfId="2734" priority="7302" operator="greaterThan">
      <formula>70</formula>
    </cfRule>
  </conditionalFormatting>
  <conditionalFormatting sqref="S130">
    <cfRule type="cellIs" dxfId="2733" priority="7303" operator="lessThan">
      <formula>0</formula>
    </cfRule>
  </conditionalFormatting>
  <conditionalFormatting sqref="S130">
    <cfRule type="cellIs" dxfId="2732" priority="7304" operator="greaterThan">
      <formula>70</formula>
    </cfRule>
  </conditionalFormatting>
  <conditionalFormatting sqref="T130">
    <cfRule type="cellIs" dxfId="2731" priority="7305" operator="lessThan">
      <formula>0</formula>
    </cfRule>
  </conditionalFormatting>
  <conditionalFormatting sqref="T130">
    <cfRule type="cellIs" dxfId="2730" priority="7306" operator="greaterThan">
      <formula>30</formula>
    </cfRule>
  </conditionalFormatting>
  <conditionalFormatting sqref="C131">
    <cfRule type="cellIs" dxfId="2729" priority="7307" operator="lessThan">
      <formula>0</formula>
    </cfRule>
  </conditionalFormatting>
  <conditionalFormatting sqref="C131">
    <cfRule type="cellIs" dxfId="2728" priority="7308" operator="greaterThan">
      <formula>100</formula>
    </cfRule>
  </conditionalFormatting>
  <conditionalFormatting sqref="F131">
    <cfRule type="cellIs" dxfId="2727" priority="7309" operator="lessThan">
      <formula>0</formula>
    </cfRule>
  </conditionalFormatting>
  <conditionalFormatting sqref="F131">
    <cfRule type="cellIs" dxfId="2726" priority="7310" operator="greaterThan">
      <formula>70</formula>
    </cfRule>
  </conditionalFormatting>
  <conditionalFormatting sqref="G131">
    <cfRule type="cellIs" dxfId="2725" priority="7311" operator="lessThan">
      <formula>0</formula>
    </cfRule>
  </conditionalFormatting>
  <conditionalFormatting sqref="G131">
    <cfRule type="cellIs" dxfId="2724" priority="7312" operator="greaterThan">
      <formula>70</formula>
    </cfRule>
  </conditionalFormatting>
  <conditionalFormatting sqref="H131">
    <cfRule type="cellIs" dxfId="2723" priority="7313" operator="lessThan">
      <formula>0</formula>
    </cfRule>
  </conditionalFormatting>
  <conditionalFormatting sqref="H131">
    <cfRule type="cellIs" dxfId="2722" priority="7314" operator="greaterThan">
      <formula>70</formula>
    </cfRule>
  </conditionalFormatting>
  <conditionalFormatting sqref="I131">
    <cfRule type="cellIs" dxfId="2721" priority="7315" operator="lessThan">
      <formula>0</formula>
    </cfRule>
  </conditionalFormatting>
  <conditionalFormatting sqref="I131">
    <cfRule type="cellIs" dxfId="2720" priority="7316" operator="greaterThan">
      <formula>70</formula>
    </cfRule>
  </conditionalFormatting>
  <conditionalFormatting sqref="J131">
    <cfRule type="cellIs" dxfId="2719" priority="7317" operator="lessThan">
      <formula>0</formula>
    </cfRule>
  </conditionalFormatting>
  <conditionalFormatting sqref="J131">
    <cfRule type="cellIs" dxfId="2718" priority="7318" operator="greaterThan">
      <formula>70</formula>
    </cfRule>
  </conditionalFormatting>
  <conditionalFormatting sqref="K131">
    <cfRule type="cellIs" dxfId="2717" priority="7319" operator="lessThan">
      <formula>0</formula>
    </cfRule>
  </conditionalFormatting>
  <conditionalFormatting sqref="K131">
    <cfRule type="cellIs" dxfId="2716" priority="7320" operator="greaterThan">
      <formula>70</formula>
    </cfRule>
  </conditionalFormatting>
  <conditionalFormatting sqref="S131">
    <cfRule type="cellIs" dxfId="2715" priority="7321" operator="lessThan">
      <formula>0</formula>
    </cfRule>
  </conditionalFormatting>
  <conditionalFormatting sqref="S131">
    <cfRule type="cellIs" dxfId="2714" priority="7322" operator="greaterThan">
      <formula>70</formula>
    </cfRule>
  </conditionalFormatting>
  <conditionalFormatting sqref="T131">
    <cfRule type="cellIs" dxfId="2713" priority="7323" operator="lessThan">
      <formula>0</formula>
    </cfRule>
  </conditionalFormatting>
  <conditionalFormatting sqref="T131">
    <cfRule type="cellIs" dxfId="2712" priority="7324" operator="greaterThan">
      <formula>30</formula>
    </cfRule>
  </conditionalFormatting>
  <conditionalFormatting sqref="C132">
    <cfRule type="cellIs" dxfId="2711" priority="7325" operator="lessThan">
      <formula>0</formula>
    </cfRule>
  </conditionalFormatting>
  <conditionalFormatting sqref="C132">
    <cfRule type="cellIs" dxfId="2710" priority="7326" operator="greaterThan">
      <formula>100</formula>
    </cfRule>
  </conditionalFormatting>
  <conditionalFormatting sqref="F132">
    <cfRule type="cellIs" dxfId="2709" priority="7327" operator="lessThan">
      <formula>0</formula>
    </cfRule>
  </conditionalFormatting>
  <conditionalFormatting sqref="F132">
    <cfRule type="cellIs" dxfId="2708" priority="7328" operator="greaterThan">
      <formula>70</formula>
    </cfRule>
  </conditionalFormatting>
  <conditionalFormatting sqref="G132">
    <cfRule type="cellIs" dxfId="2707" priority="7329" operator="lessThan">
      <formula>0</formula>
    </cfRule>
  </conditionalFormatting>
  <conditionalFormatting sqref="G132">
    <cfRule type="cellIs" dxfId="2706" priority="7330" operator="greaterThan">
      <formula>70</formula>
    </cfRule>
  </conditionalFormatting>
  <conditionalFormatting sqref="H132">
    <cfRule type="cellIs" dxfId="2705" priority="7331" operator="lessThan">
      <formula>0</formula>
    </cfRule>
  </conditionalFormatting>
  <conditionalFormatting sqref="H132">
    <cfRule type="cellIs" dxfId="2704" priority="7332" operator="greaterThan">
      <formula>70</formula>
    </cfRule>
  </conditionalFormatting>
  <conditionalFormatting sqref="I132">
    <cfRule type="cellIs" dxfId="2703" priority="7333" operator="lessThan">
      <formula>0</formula>
    </cfRule>
  </conditionalFormatting>
  <conditionalFormatting sqref="I132">
    <cfRule type="cellIs" dxfId="2702" priority="7334" operator="greaterThan">
      <formula>70</formula>
    </cfRule>
  </conditionalFormatting>
  <conditionalFormatting sqref="J132">
    <cfRule type="cellIs" dxfId="2701" priority="7335" operator="lessThan">
      <formula>0</formula>
    </cfRule>
  </conditionalFormatting>
  <conditionalFormatting sqref="J132">
    <cfRule type="cellIs" dxfId="2700" priority="7336" operator="greaterThan">
      <formula>70</formula>
    </cfRule>
  </conditionalFormatting>
  <conditionalFormatting sqref="K132">
    <cfRule type="cellIs" dxfId="2699" priority="7337" operator="lessThan">
      <formula>0</formula>
    </cfRule>
  </conditionalFormatting>
  <conditionalFormatting sqref="K132">
    <cfRule type="cellIs" dxfId="2698" priority="7338" operator="greaterThan">
      <formula>70</formula>
    </cfRule>
  </conditionalFormatting>
  <conditionalFormatting sqref="S132">
    <cfRule type="cellIs" dxfId="2697" priority="7339" operator="lessThan">
      <formula>0</formula>
    </cfRule>
  </conditionalFormatting>
  <conditionalFormatting sqref="S132">
    <cfRule type="cellIs" dxfId="2696" priority="7340" operator="greaterThan">
      <formula>70</formula>
    </cfRule>
  </conditionalFormatting>
  <conditionalFormatting sqref="T132">
    <cfRule type="cellIs" dxfId="2695" priority="7341" operator="lessThan">
      <formula>0</formula>
    </cfRule>
  </conditionalFormatting>
  <conditionalFormatting sqref="T132">
    <cfRule type="cellIs" dxfId="2694" priority="7342" operator="greaterThan">
      <formula>30</formula>
    </cfRule>
  </conditionalFormatting>
  <conditionalFormatting sqref="C133">
    <cfRule type="cellIs" dxfId="2693" priority="7343" operator="lessThan">
      <formula>0</formula>
    </cfRule>
  </conditionalFormatting>
  <conditionalFormatting sqref="C133">
    <cfRule type="cellIs" dxfId="2692" priority="7344" operator="greaterThan">
      <formula>100</formula>
    </cfRule>
  </conditionalFormatting>
  <conditionalFormatting sqref="F133">
    <cfRule type="cellIs" dxfId="2691" priority="7345" operator="lessThan">
      <formula>0</formula>
    </cfRule>
  </conditionalFormatting>
  <conditionalFormatting sqref="F133">
    <cfRule type="cellIs" dxfId="2690" priority="7346" operator="greaterThan">
      <formula>70</formula>
    </cfRule>
  </conditionalFormatting>
  <conditionalFormatting sqref="G133">
    <cfRule type="cellIs" dxfId="2689" priority="7347" operator="lessThan">
      <formula>0</formula>
    </cfRule>
  </conditionalFormatting>
  <conditionalFormatting sqref="G133">
    <cfRule type="cellIs" dxfId="2688" priority="7348" operator="greaterThan">
      <formula>70</formula>
    </cfRule>
  </conditionalFormatting>
  <conditionalFormatting sqref="H133">
    <cfRule type="cellIs" dxfId="2687" priority="7349" operator="lessThan">
      <formula>0</formula>
    </cfRule>
  </conditionalFormatting>
  <conditionalFormatting sqref="H133">
    <cfRule type="cellIs" dxfId="2686" priority="7350" operator="greaterThan">
      <formula>70</formula>
    </cfRule>
  </conditionalFormatting>
  <conditionalFormatting sqref="I133">
    <cfRule type="cellIs" dxfId="2685" priority="7351" operator="lessThan">
      <formula>0</formula>
    </cfRule>
  </conditionalFormatting>
  <conditionalFormatting sqref="I133">
    <cfRule type="cellIs" dxfId="2684" priority="7352" operator="greaterThan">
      <formula>70</formula>
    </cfRule>
  </conditionalFormatting>
  <conditionalFormatting sqref="J133">
    <cfRule type="cellIs" dxfId="2683" priority="7353" operator="lessThan">
      <formula>0</formula>
    </cfRule>
  </conditionalFormatting>
  <conditionalFormatting sqref="J133">
    <cfRule type="cellIs" dxfId="2682" priority="7354" operator="greaterThan">
      <formula>70</formula>
    </cfRule>
  </conditionalFormatting>
  <conditionalFormatting sqref="K133">
    <cfRule type="cellIs" dxfId="2681" priority="7355" operator="lessThan">
      <formula>0</formula>
    </cfRule>
  </conditionalFormatting>
  <conditionalFormatting sqref="K133">
    <cfRule type="cellIs" dxfId="2680" priority="7356" operator="greaterThan">
      <formula>70</formula>
    </cfRule>
  </conditionalFormatting>
  <conditionalFormatting sqref="S133">
    <cfRule type="cellIs" dxfId="2679" priority="7357" operator="lessThan">
      <formula>0</formula>
    </cfRule>
  </conditionalFormatting>
  <conditionalFormatting sqref="S133">
    <cfRule type="cellIs" dxfId="2678" priority="7358" operator="greaterThan">
      <formula>70</formula>
    </cfRule>
  </conditionalFormatting>
  <conditionalFormatting sqref="T133">
    <cfRule type="cellIs" dxfId="2677" priority="7359" operator="lessThan">
      <formula>0</formula>
    </cfRule>
  </conditionalFormatting>
  <conditionalFormatting sqref="T133">
    <cfRule type="cellIs" dxfId="2676" priority="7360" operator="greaterThan">
      <formula>30</formula>
    </cfRule>
  </conditionalFormatting>
  <conditionalFormatting sqref="C134">
    <cfRule type="cellIs" dxfId="2675" priority="7361" operator="lessThan">
      <formula>0</formula>
    </cfRule>
  </conditionalFormatting>
  <conditionalFormatting sqref="C134">
    <cfRule type="cellIs" dxfId="2674" priority="7362" operator="greaterThan">
      <formula>100</formula>
    </cfRule>
  </conditionalFormatting>
  <conditionalFormatting sqref="F134">
    <cfRule type="cellIs" dxfId="2673" priority="7363" operator="lessThan">
      <formula>0</formula>
    </cfRule>
  </conditionalFormatting>
  <conditionalFormatting sqref="F134">
    <cfRule type="cellIs" dxfId="2672" priority="7364" operator="greaterThan">
      <formula>70</formula>
    </cfRule>
  </conditionalFormatting>
  <conditionalFormatting sqref="G134">
    <cfRule type="cellIs" dxfId="2671" priority="7365" operator="lessThan">
      <formula>0</formula>
    </cfRule>
  </conditionalFormatting>
  <conditionalFormatting sqref="G134">
    <cfRule type="cellIs" dxfId="2670" priority="7366" operator="greaterThan">
      <formula>70</formula>
    </cfRule>
  </conditionalFormatting>
  <conditionalFormatting sqref="H134">
    <cfRule type="cellIs" dxfId="2669" priority="7367" operator="lessThan">
      <formula>0</formula>
    </cfRule>
  </conditionalFormatting>
  <conditionalFormatting sqref="H134">
    <cfRule type="cellIs" dxfId="2668" priority="7368" operator="greaterThan">
      <formula>70</formula>
    </cfRule>
  </conditionalFormatting>
  <conditionalFormatting sqref="I134">
    <cfRule type="cellIs" dxfId="2667" priority="7369" operator="lessThan">
      <formula>0</formula>
    </cfRule>
  </conditionalFormatting>
  <conditionalFormatting sqref="I134">
    <cfRule type="cellIs" dxfId="2666" priority="7370" operator="greaterThan">
      <formula>70</formula>
    </cfRule>
  </conditionalFormatting>
  <conditionalFormatting sqref="J134">
    <cfRule type="cellIs" dxfId="2665" priority="7371" operator="lessThan">
      <formula>0</formula>
    </cfRule>
  </conditionalFormatting>
  <conditionalFormatting sqref="J134">
    <cfRule type="cellIs" dxfId="2664" priority="7372" operator="greaterThan">
      <formula>70</formula>
    </cfRule>
  </conditionalFormatting>
  <conditionalFormatting sqref="K134">
    <cfRule type="cellIs" dxfId="2663" priority="7373" operator="lessThan">
      <formula>0</formula>
    </cfRule>
  </conditionalFormatting>
  <conditionalFormatting sqref="K134">
    <cfRule type="cellIs" dxfId="2662" priority="7374" operator="greaterThan">
      <formula>70</formula>
    </cfRule>
  </conditionalFormatting>
  <conditionalFormatting sqref="S134">
    <cfRule type="cellIs" dxfId="2661" priority="7375" operator="lessThan">
      <formula>0</formula>
    </cfRule>
  </conditionalFormatting>
  <conditionalFormatting sqref="S134">
    <cfRule type="cellIs" dxfId="2660" priority="7376" operator="greaterThan">
      <formula>70</formula>
    </cfRule>
  </conditionalFormatting>
  <conditionalFormatting sqref="T134">
    <cfRule type="cellIs" dxfId="2659" priority="7377" operator="lessThan">
      <formula>0</formula>
    </cfRule>
  </conditionalFormatting>
  <conditionalFormatting sqref="T134">
    <cfRule type="cellIs" dxfId="2658" priority="7378" operator="greaterThan">
      <formula>30</formula>
    </cfRule>
  </conditionalFormatting>
  <conditionalFormatting sqref="C135">
    <cfRule type="cellIs" dxfId="2657" priority="7379" operator="lessThan">
      <formula>0</formula>
    </cfRule>
  </conditionalFormatting>
  <conditionalFormatting sqref="C135">
    <cfRule type="cellIs" dxfId="2656" priority="7380" operator="greaterThan">
      <formula>100</formula>
    </cfRule>
  </conditionalFormatting>
  <conditionalFormatting sqref="F135">
    <cfRule type="cellIs" dxfId="2655" priority="7381" operator="lessThan">
      <formula>0</formula>
    </cfRule>
  </conditionalFormatting>
  <conditionalFormatting sqref="F135">
    <cfRule type="cellIs" dxfId="2654" priority="7382" operator="greaterThan">
      <formula>70</formula>
    </cfRule>
  </conditionalFormatting>
  <conditionalFormatting sqref="G135">
    <cfRule type="cellIs" dxfId="2653" priority="7383" operator="lessThan">
      <formula>0</formula>
    </cfRule>
  </conditionalFormatting>
  <conditionalFormatting sqref="G135">
    <cfRule type="cellIs" dxfId="2652" priority="7384" operator="greaterThan">
      <formula>70</formula>
    </cfRule>
  </conditionalFormatting>
  <conditionalFormatting sqref="H135">
    <cfRule type="cellIs" dxfId="2651" priority="7385" operator="lessThan">
      <formula>0</formula>
    </cfRule>
  </conditionalFormatting>
  <conditionalFormatting sqref="H135">
    <cfRule type="cellIs" dxfId="2650" priority="7386" operator="greaterThan">
      <formula>70</formula>
    </cfRule>
  </conditionalFormatting>
  <conditionalFormatting sqref="I135">
    <cfRule type="cellIs" dxfId="2649" priority="7387" operator="lessThan">
      <formula>0</formula>
    </cfRule>
  </conditionalFormatting>
  <conditionalFormatting sqref="I135">
    <cfRule type="cellIs" dxfId="2648" priority="7388" operator="greaterThan">
      <formula>70</formula>
    </cfRule>
  </conditionalFormatting>
  <conditionalFormatting sqref="J135">
    <cfRule type="cellIs" dxfId="2647" priority="7389" operator="lessThan">
      <formula>0</formula>
    </cfRule>
  </conditionalFormatting>
  <conditionalFormatting sqref="J135">
    <cfRule type="cellIs" dxfId="2646" priority="7390" operator="greaterThan">
      <formula>70</formula>
    </cfRule>
  </conditionalFormatting>
  <conditionalFormatting sqref="K135">
    <cfRule type="cellIs" dxfId="2645" priority="7391" operator="lessThan">
      <formula>0</formula>
    </cfRule>
  </conditionalFormatting>
  <conditionalFormatting sqref="K135">
    <cfRule type="cellIs" dxfId="2644" priority="7392" operator="greaterThan">
      <formula>70</formula>
    </cfRule>
  </conditionalFormatting>
  <conditionalFormatting sqref="S135">
    <cfRule type="cellIs" dxfId="2643" priority="7393" operator="lessThan">
      <formula>0</formula>
    </cfRule>
  </conditionalFormatting>
  <conditionalFormatting sqref="S135">
    <cfRule type="cellIs" dxfId="2642" priority="7394" operator="greaterThan">
      <formula>70</formula>
    </cfRule>
  </conditionalFormatting>
  <conditionalFormatting sqref="T135">
    <cfRule type="cellIs" dxfId="2641" priority="7395" operator="lessThan">
      <formula>0</formula>
    </cfRule>
  </conditionalFormatting>
  <conditionalFormatting sqref="T135">
    <cfRule type="cellIs" dxfId="2640" priority="7396" operator="greaterThan">
      <formula>30</formula>
    </cfRule>
  </conditionalFormatting>
  <conditionalFormatting sqref="C136">
    <cfRule type="cellIs" dxfId="2639" priority="7397" operator="lessThan">
      <formula>0</formula>
    </cfRule>
  </conditionalFormatting>
  <conditionalFormatting sqref="C136">
    <cfRule type="cellIs" dxfId="2638" priority="7398" operator="greaterThan">
      <formula>100</formula>
    </cfRule>
  </conditionalFormatting>
  <conditionalFormatting sqref="F136">
    <cfRule type="cellIs" dxfId="2637" priority="7399" operator="lessThan">
      <formula>0</formula>
    </cfRule>
  </conditionalFormatting>
  <conditionalFormatting sqref="F136">
    <cfRule type="cellIs" dxfId="2636" priority="7400" operator="greaterThan">
      <formula>70</formula>
    </cfRule>
  </conditionalFormatting>
  <conditionalFormatting sqref="G136">
    <cfRule type="cellIs" dxfId="2635" priority="7401" operator="lessThan">
      <formula>0</formula>
    </cfRule>
  </conditionalFormatting>
  <conditionalFormatting sqref="G136">
    <cfRule type="cellIs" dxfId="2634" priority="7402" operator="greaterThan">
      <formula>70</formula>
    </cfRule>
  </conditionalFormatting>
  <conditionalFormatting sqref="H136">
    <cfRule type="cellIs" dxfId="2633" priority="7403" operator="lessThan">
      <formula>0</formula>
    </cfRule>
  </conditionalFormatting>
  <conditionalFormatting sqref="H136">
    <cfRule type="cellIs" dxfId="2632" priority="7404" operator="greaterThan">
      <formula>70</formula>
    </cfRule>
  </conditionalFormatting>
  <conditionalFormatting sqref="I136">
    <cfRule type="cellIs" dxfId="2631" priority="7405" operator="lessThan">
      <formula>0</formula>
    </cfRule>
  </conditionalFormatting>
  <conditionalFormatting sqref="I136">
    <cfRule type="cellIs" dxfId="2630" priority="7406" operator="greaterThan">
      <formula>70</formula>
    </cfRule>
  </conditionalFormatting>
  <conditionalFormatting sqref="J136">
    <cfRule type="cellIs" dxfId="2629" priority="7407" operator="lessThan">
      <formula>0</formula>
    </cfRule>
  </conditionalFormatting>
  <conditionalFormatting sqref="J136">
    <cfRule type="cellIs" dxfId="2628" priority="7408" operator="greaterThan">
      <formula>70</formula>
    </cfRule>
  </conditionalFormatting>
  <conditionalFormatting sqref="K136">
    <cfRule type="cellIs" dxfId="2627" priority="7409" operator="lessThan">
      <formula>0</formula>
    </cfRule>
  </conditionalFormatting>
  <conditionalFormatting sqref="K136">
    <cfRule type="cellIs" dxfId="2626" priority="7410" operator="greaterThan">
      <formula>70</formula>
    </cfRule>
  </conditionalFormatting>
  <conditionalFormatting sqref="S136">
    <cfRule type="cellIs" dxfId="2625" priority="7411" operator="lessThan">
      <formula>0</formula>
    </cfRule>
  </conditionalFormatting>
  <conditionalFormatting sqref="S136">
    <cfRule type="cellIs" dxfId="2624" priority="7412" operator="greaterThan">
      <formula>70</formula>
    </cfRule>
  </conditionalFormatting>
  <conditionalFormatting sqref="T136">
    <cfRule type="cellIs" dxfId="2623" priority="7413" operator="lessThan">
      <formula>0</formula>
    </cfRule>
  </conditionalFormatting>
  <conditionalFormatting sqref="T136">
    <cfRule type="cellIs" dxfId="2622" priority="7414" operator="greaterThan">
      <formula>30</formula>
    </cfRule>
  </conditionalFormatting>
  <conditionalFormatting sqref="C137">
    <cfRule type="cellIs" dxfId="2621" priority="7415" operator="lessThan">
      <formula>0</formula>
    </cfRule>
  </conditionalFormatting>
  <conditionalFormatting sqref="C137">
    <cfRule type="cellIs" dxfId="2620" priority="7416" operator="greaterThan">
      <formula>100</formula>
    </cfRule>
  </conditionalFormatting>
  <conditionalFormatting sqref="F137">
    <cfRule type="cellIs" dxfId="2619" priority="7417" operator="lessThan">
      <formula>0</formula>
    </cfRule>
  </conditionalFormatting>
  <conditionalFormatting sqref="F137">
    <cfRule type="cellIs" dxfId="2618" priority="7418" operator="greaterThan">
      <formula>70</formula>
    </cfRule>
  </conditionalFormatting>
  <conditionalFormatting sqref="G137">
    <cfRule type="cellIs" dxfId="2617" priority="7419" operator="lessThan">
      <formula>0</formula>
    </cfRule>
  </conditionalFormatting>
  <conditionalFormatting sqref="G137">
    <cfRule type="cellIs" dxfId="2616" priority="7420" operator="greaterThan">
      <formula>70</formula>
    </cfRule>
  </conditionalFormatting>
  <conditionalFormatting sqref="H137">
    <cfRule type="cellIs" dxfId="2615" priority="7421" operator="lessThan">
      <formula>0</formula>
    </cfRule>
  </conditionalFormatting>
  <conditionalFormatting sqref="H137">
    <cfRule type="cellIs" dxfId="2614" priority="7422" operator="greaterThan">
      <formula>70</formula>
    </cfRule>
  </conditionalFormatting>
  <conditionalFormatting sqref="I137">
    <cfRule type="cellIs" dxfId="2613" priority="7423" operator="lessThan">
      <formula>0</formula>
    </cfRule>
  </conditionalFormatting>
  <conditionalFormatting sqref="I137">
    <cfRule type="cellIs" dxfId="2612" priority="7424" operator="greaterThan">
      <formula>70</formula>
    </cfRule>
  </conditionalFormatting>
  <conditionalFormatting sqref="J137">
    <cfRule type="cellIs" dxfId="2611" priority="7425" operator="lessThan">
      <formula>0</formula>
    </cfRule>
  </conditionalFormatting>
  <conditionalFormatting sqref="J137">
    <cfRule type="cellIs" dxfId="2610" priority="7426" operator="greaterThan">
      <formula>70</formula>
    </cfRule>
  </conditionalFormatting>
  <conditionalFormatting sqref="K137">
    <cfRule type="cellIs" dxfId="2609" priority="7427" operator="lessThan">
      <formula>0</formula>
    </cfRule>
  </conditionalFormatting>
  <conditionalFormatting sqref="K137">
    <cfRule type="cellIs" dxfId="2608" priority="7428" operator="greaterThan">
      <formula>70</formula>
    </cfRule>
  </conditionalFormatting>
  <conditionalFormatting sqref="S137">
    <cfRule type="cellIs" dxfId="2607" priority="7429" operator="lessThan">
      <formula>0</formula>
    </cfRule>
  </conditionalFormatting>
  <conditionalFormatting sqref="S137">
    <cfRule type="cellIs" dxfId="2606" priority="7430" operator="greaterThan">
      <formula>70</formula>
    </cfRule>
  </conditionalFormatting>
  <conditionalFormatting sqref="T137">
    <cfRule type="cellIs" dxfId="2605" priority="7431" operator="lessThan">
      <formula>0</formula>
    </cfRule>
  </conditionalFormatting>
  <conditionalFormatting sqref="T137">
    <cfRule type="cellIs" dxfId="2604" priority="7432" operator="greaterThan">
      <formula>30</formula>
    </cfRule>
  </conditionalFormatting>
  <conditionalFormatting sqref="C138">
    <cfRule type="cellIs" dxfId="2603" priority="7433" operator="lessThan">
      <formula>0</formula>
    </cfRule>
  </conditionalFormatting>
  <conditionalFormatting sqref="C138">
    <cfRule type="cellIs" dxfId="2602" priority="7434" operator="greaterThan">
      <formula>100</formula>
    </cfRule>
  </conditionalFormatting>
  <conditionalFormatting sqref="F138">
    <cfRule type="cellIs" dxfId="2601" priority="7435" operator="lessThan">
      <formula>0</formula>
    </cfRule>
  </conditionalFormatting>
  <conditionalFormatting sqref="F138">
    <cfRule type="cellIs" dxfId="2600" priority="7436" operator="greaterThan">
      <formula>70</formula>
    </cfRule>
  </conditionalFormatting>
  <conditionalFormatting sqref="G138">
    <cfRule type="cellIs" dxfId="2599" priority="7437" operator="lessThan">
      <formula>0</formula>
    </cfRule>
  </conditionalFormatting>
  <conditionalFormatting sqref="G138">
    <cfRule type="cellIs" dxfId="2598" priority="7438" operator="greaterThan">
      <formula>70</formula>
    </cfRule>
  </conditionalFormatting>
  <conditionalFormatting sqref="H138">
    <cfRule type="cellIs" dxfId="2597" priority="7439" operator="lessThan">
      <formula>0</formula>
    </cfRule>
  </conditionalFormatting>
  <conditionalFormatting sqref="H138">
    <cfRule type="cellIs" dxfId="2596" priority="7440" operator="greaterThan">
      <formula>70</formula>
    </cfRule>
  </conditionalFormatting>
  <conditionalFormatting sqref="I138">
    <cfRule type="cellIs" dxfId="2595" priority="7441" operator="lessThan">
      <formula>0</formula>
    </cfRule>
  </conditionalFormatting>
  <conditionalFormatting sqref="I138">
    <cfRule type="cellIs" dxfId="2594" priority="7442" operator="greaterThan">
      <formula>70</formula>
    </cfRule>
  </conditionalFormatting>
  <conditionalFormatting sqref="J138">
    <cfRule type="cellIs" dxfId="2593" priority="7443" operator="lessThan">
      <formula>0</formula>
    </cfRule>
  </conditionalFormatting>
  <conditionalFormatting sqref="J138">
    <cfRule type="cellIs" dxfId="2592" priority="7444" operator="greaterThan">
      <formula>70</formula>
    </cfRule>
  </conditionalFormatting>
  <conditionalFormatting sqref="K138">
    <cfRule type="cellIs" dxfId="2591" priority="7445" operator="lessThan">
      <formula>0</formula>
    </cfRule>
  </conditionalFormatting>
  <conditionalFormatting sqref="K138">
    <cfRule type="cellIs" dxfId="2590" priority="7446" operator="greaterThan">
      <formula>70</formula>
    </cfRule>
  </conditionalFormatting>
  <conditionalFormatting sqref="S138">
    <cfRule type="cellIs" dxfId="2589" priority="7447" operator="lessThan">
      <formula>0</formula>
    </cfRule>
  </conditionalFormatting>
  <conditionalFormatting sqref="S138">
    <cfRule type="cellIs" dxfId="2588" priority="7448" operator="greaterThan">
      <formula>70</formula>
    </cfRule>
  </conditionalFormatting>
  <conditionalFormatting sqref="T138">
    <cfRule type="cellIs" dxfId="2587" priority="7449" operator="lessThan">
      <formula>0</formula>
    </cfRule>
  </conditionalFormatting>
  <conditionalFormatting sqref="T138">
    <cfRule type="cellIs" dxfId="2586" priority="7450" operator="greaterThan">
      <formula>30</formula>
    </cfRule>
  </conditionalFormatting>
  <conditionalFormatting sqref="C139">
    <cfRule type="cellIs" dxfId="2585" priority="7451" operator="lessThan">
      <formula>0</formula>
    </cfRule>
  </conditionalFormatting>
  <conditionalFormatting sqref="C139">
    <cfRule type="cellIs" dxfId="2584" priority="7452" operator="greaterThan">
      <formula>100</formula>
    </cfRule>
  </conditionalFormatting>
  <conditionalFormatting sqref="F139">
    <cfRule type="cellIs" dxfId="2583" priority="7453" operator="lessThan">
      <formula>0</formula>
    </cfRule>
  </conditionalFormatting>
  <conditionalFormatting sqref="F139">
    <cfRule type="cellIs" dxfId="2582" priority="7454" operator="greaterThan">
      <formula>70</formula>
    </cfRule>
  </conditionalFormatting>
  <conditionalFormatting sqref="G139">
    <cfRule type="cellIs" dxfId="2581" priority="7455" operator="lessThan">
      <formula>0</formula>
    </cfRule>
  </conditionalFormatting>
  <conditionalFormatting sqref="G139">
    <cfRule type="cellIs" dxfId="2580" priority="7456" operator="greaterThan">
      <formula>70</formula>
    </cfRule>
  </conditionalFormatting>
  <conditionalFormatting sqref="H139">
    <cfRule type="cellIs" dxfId="2579" priority="7457" operator="lessThan">
      <formula>0</formula>
    </cfRule>
  </conditionalFormatting>
  <conditionalFormatting sqref="H139">
    <cfRule type="cellIs" dxfId="2578" priority="7458" operator="greaterThan">
      <formula>70</formula>
    </cfRule>
  </conditionalFormatting>
  <conditionalFormatting sqref="I139">
    <cfRule type="cellIs" dxfId="2577" priority="7459" operator="lessThan">
      <formula>0</formula>
    </cfRule>
  </conditionalFormatting>
  <conditionalFormatting sqref="I139">
    <cfRule type="cellIs" dxfId="2576" priority="7460" operator="greaterThan">
      <formula>70</formula>
    </cfRule>
  </conditionalFormatting>
  <conditionalFormatting sqref="J139">
    <cfRule type="cellIs" dxfId="2575" priority="7461" operator="lessThan">
      <formula>0</formula>
    </cfRule>
  </conditionalFormatting>
  <conditionalFormatting sqref="J139">
    <cfRule type="cellIs" dxfId="2574" priority="7462" operator="greaterThan">
      <formula>70</formula>
    </cfRule>
  </conditionalFormatting>
  <conditionalFormatting sqref="K139">
    <cfRule type="cellIs" dxfId="2573" priority="7463" operator="lessThan">
      <formula>0</formula>
    </cfRule>
  </conditionalFormatting>
  <conditionalFormatting sqref="K139">
    <cfRule type="cellIs" dxfId="2572" priority="7464" operator="greaterThan">
      <formula>70</formula>
    </cfRule>
  </conditionalFormatting>
  <conditionalFormatting sqref="S139">
    <cfRule type="cellIs" dxfId="2571" priority="7465" operator="lessThan">
      <formula>0</formula>
    </cfRule>
  </conditionalFormatting>
  <conditionalFormatting sqref="S139">
    <cfRule type="cellIs" dxfId="2570" priority="7466" operator="greaterThan">
      <formula>70</formula>
    </cfRule>
  </conditionalFormatting>
  <conditionalFormatting sqref="T139">
    <cfRule type="cellIs" dxfId="2569" priority="7467" operator="lessThan">
      <formula>0</formula>
    </cfRule>
  </conditionalFormatting>
  <conditionalFormatting sqref="T139">
    <cfRule type="cellIs" dxfId="2568" priority="7468" operator="greaterThan">
      <formula>30</formula>
    </cfRule>
  </conditionalFormatting>
  <conditionalFormatting sqref="C140">
    <cfRule type="cellIs" dxfId="2567" priority="7469" operator="lessThan">
      <formula>0</formula>
    </cfRule>
  </conditionalFormatting>
  <conditionalFormatting sqref="C140">
    <cfRule type="cellIs" dxfId="2566" priority="7470" operator="greaterThan">
      <formula>100</formula>
    </cfRule>
  </conditionalFormatting>
  <conditionalFormatting sqref="F140">
    <cfRule type="cellIs" dxfId="2565" priority="7471" operator="lessThan">
      <formula>0</formula>
    </cfRule>
  </conditionalFormatting>
  <conditionalFormatting sqref="F140">
    <cfRule type="cellIs" dxfId="2564" priority="7472" operator="greaterThan">
      <formula>70</formula>
    </cfRule>
  </conditionalFormatting>
  <conditionalFormatting sqref="G140">
    <cfRule type="cellIs" dxfId="2563" priority="7473" operator="lessThan">
      <formula>0</formula>
    </cfRule>
  </conditionalFormatting>
  <conditionalFormatting sqref="G140">
    <cfRule type="cellIs" dxfId="2562" priority="7474" operator="greaterThan">
      <formula>70</formula>
    </cfRule>
  </conditionalFormatting>
  <conditionalFormatting sqref="H140">
    <cfRule type="cellIs" dxfId="2561" priority="7475" operator="lessThan">
      <formula>0</formula>
    </cfRule>
  </conditionalFormatting>
  <conditionalFormatting sqref="H140">
    <cfRule type="cellIs" dxfId="2560" priority="7476" operator="greaterThan">
      <formula>70</formula>
    </cfRule>
  </conditionalFormatting>
  <conditionalFormatting sqref="I140">
    <cfRule type="cellIs" dxfId="2559" priority="7477" operator="lessThan">
      <formula>0</formula>
    </cfRule>
  </conditionalFormatting>
  <conditionalFormatting sqref="I140">
    <cfRule type="cellIs" dxfId="2558" priority="7478" operator="greaterThan">
      <formula>70</formula>
    </cfRule>
  </conditionalFormatting>
  <conditionalFormatting sqref="J140">
    <cfRule type="cellIs" dxfId="2557" priority="7479" operator="lessThan">
      <formula>0</formula>
    </cfRule>
  </conditionalFormatting>
  <conditionalFormatting sqref="J140">
    <cfRule type="cellIs" dxfId="2556" priority="7480" operator="greaterThan">
      <formula>70</formula>
    </cfRule>
  </conditionalFormatting>
  <conditionalFormatting sqref="K140">
    <cfRule type="cellIs" dxfId="2555" priority="7481" operator="lessThan">
      <formula>0</formula>
    </cfRule>
  </conditionalFormatting>
  <conditionalFormatting sqref="K140">
    <cfRule type="cellIs" dxfId="2554" priority="7482" operator="greaterThan">
      <formula>70</formula>
    </cfRule>
  </conditionalFormatting>
  <conditionalFormatting sqref="S140">
    <cfRule type="cellIs" dxfId="2553" priority="7483" operator="lessThan">
      <formula>0</formula>
    </cfRule>
  </conditionalFormatting>
  <conditionalFormatting sqref="S140">
    <cfRule type="cellIs" dxfId="2552" priority="7484" operator="greaterThan">
      <formula>70</formula>
    </cfRule>
  </conditionalFormatting>
  <conditionalFormatting sqref="T140">
    <cfRule type="cellIs" dxfId="2551" priority="7485" operator="lessThan">
      <formula>0</formula>
    </cfRule>
  </conditionalFormatting>
  <conditionalFormatting sqref="T140">
    <cfRule type="cellIs" dxfId="2550" priority="7486" operator="greaterThan">
      <formula>30</formula>
    </cfRule>
  </conditionalFormatting>
  <conditionalFormatting sqref="C141">
    <cfRule type="cellIs" dxfId="2549" priority="7487" operator="lessThan">
      <formula>0</formula>
    </cfRule>
  </conditionalFormatting>
  <conditionalFormatting sqref="C141">
    <cfRule type="cellIs" dxfId="2548" priority="7488" operator="greaterThan">
      <formula>100</formula>
    </cfRule>
  </conditionalFormatting>
  <conditionalFormatting sqref="F141">
    <cfRule type="cellIs" dxfId="2547" priority="7489" operator="lessThan">
      <formula>0</formula>
    </cfRule>
  </conditionalFormatting>
  <conditionalFormatting sqref="F141">
    <cfRule type="cellIs" dxfId="2546" priority="7490" operator="greaterThan">
      <formula>70</formula>
    </cfRule>
  </conditionalFormatting>
  <conditionalFormatting sqref="G141">
    <cfRule type="cellIs" dxfId="2545" priority="7491" operator="lessThan">
      <formula>0</formula>
    </cfRule>
  </conditionalFormatting>
  <conditionalFormatting sqref="G141">
    <cfRule type="cellIs" dxfId="2544" priority="7492" operator="greaterThan">
      <formula>70</formula>
    </cfRule>
  </conditionalFormatting>
  <conditionalFormatting sqref="H141">
    <cfRule type="cellIs" dxfId="2543" priority="7493" operator="lessThan">
      <formula>0</formula>
    </cfRule>
  </conditionalFormatting>
  <conditionalFormatting sqref="H141">
    <cfRule type="cellIs" dxfId="2542" priority="7494" operator="greaterThan">
      <formula>70</formula>
    </cfRule>
  </conditionalFormatting>
  <conditionalFormatting sqref="I141">
    <cfRule type="cellIs" dxfId="2541" priority="7495" operator="lessThan">
      <formula>0</formula>
    </cfRule>
  </conditionalFormatting>
  <conditionalFormatting sqref="I141">
    <cfRule type="cellIs" dxfId="2540" priority="7496" operator="greaterThan">
      <formula>70</formula>
    </cfRule>
  </conditionalFormatting>
  <conditionalFormatting sqref="J141">
    <cfRule type="cellIs" dxfId="2539" priority="7497" operator="lessThan">
      <formula>0</formula>
    </cfRule>
  </conditionalFormatting>
  <conditionalFormatting sqref="J141">
    <cfRule type="cellIs" dxfId="2538" priority="7498" operator="greaterThan">
      <formula>70</formula>
    </cfRule>
  </conditionalFormatting>
  <conditionalFormatting sqref="K141">
    <cfRule type="cellIs" dxfId="2537" priority="7499" operator="lessThan">
      <formula>0</formula>
    </cfRule>
  </conditionalFormatting>
  <conditionalFormatting sqref="K141">
    <cfRule type="cellIs" dxfId="2536" priority="7500" operator="greaterThan">
      <formula>70</formula>
    </cfRule>
  </conditionalFormatting>
  <conditionalFormatting sqref="S141">
    <cfRule type="cellIs" dxfId="2535" priority="7501" operator="lessThan">
      <formula>0</formula>
    </cfRule>
  </conditionalFormatting>
  <conditionalFormatting sqref="S141">
    <cfRule type="cellIs" dxfId="2534" priority="7502" operator="greaterThan">
      <formula>70</formula>
    </cfRule>
  </conditionalFormatting>
  <conditionalFormatting sqref="T141">
    <cfRule type="cellIs" dxfId="2533" priority="7503" operator="lessThan">
      <formula>0</formula>
    </cfRule>
  </conditionalFormatting>
  <conditionalFormatting sqref="T141">
    <cfRule type="cellIs" dxfId="2532" priority="7504" operator="greaterThan">
      <formula>30</formula>
    </cfRule>
  </conditionalFormatting>
  <conditionalFormatting sqref="C142">
    <cfRule type="cellIs" dxfId="2531" priority="7505" operator="lessThan">
      <formula>0</formula>
    </cfRule>
  </conditionalFormatting>
  <conditionalFormatting sqref="C142">
    <cfRule type="cellIs" dxfId="2530" priority="7506" operator="greaterThan">
      <formula>100</formula>
    </cfRule>
  </conditionalFormatting>
  <conditionalFormatting sqref="F142">
    <cfRule type="cellIs" dxfId="2529" priority="7507" operator="lessThan">
      <formula>0</formula>
    </cfRule>
  </conditionalFormatting>
  <conditionalFormatting sqref="F142">
    <cfRule type="cellIs" dxfId="2528" priority="7508" operator="greaterThan">
      <formula>70</formula>
    </cfRule>
  </conditionalFormatting>
  <conditionalFormatting sqref="G142">
    <cfRule type="cellIs" dxfId="2527" priority="7509" operator="lessThan">
      <formula>0</formula>
    </cfRule>
  </conditionalFormatting>
  <conditionalFormatting sqref="G142">
    <cfRule type="cellIs" dxfId="2526" priority="7510" operator="greaterThan">
      <formula>70</formula>
    </cfRule>
  </conditionalFormatting>
  <conditionalFormatting sqref="H142">
    <cfRule type="cellIs" dxfId="2525" priority="7511" operator="lessThan">
      <formula>0</formula>
    </cfRule>
  </conditionalFormatting>
  <conditionalFormatting sqref="H142">
    <cfRule type="cellIs" dxfId="2524" priority="7512" operator="greaterThan">
      <formula>70</formula>
    </cfRule>
  </conditionalFormatting>
  <conditionalFormatting sqref="I142">
    <cfRule type="cellIs" dxfId="2523" priority="7513" operator="lessThan">
      <formula>0</formula>
    </cfRule>
  </conditionalFormatting>
  <conditionalFormatting sqref="I142">
    <cfRule type="cellIs" dxfId="2522" priority="7514" operator="greaterThan">
      <formula>70</formula>
    </cfRule>
  </conditionalFormatting>
  <conditionalFormatting sqref="J142">
    <cfRule type="cellIs" dxfId="2521" priority="7515" operator="lessThan">
      <formula>0</formula>
    </cfRule>
  </conditionalFormatting>
  <conditionalFormatting sqref="J142">
    <cfRule type="cellIs" dxfId="2520" priority="7516" operator="greaterThan">
      <formula>70</formula>
    </cfRule>
  </conditionalFormatting>
  <conditionalFormatting sqref="K142">
    <cfRule type="cellIs" dxfId="2519" priority="7517" operator="lessThan">
      <formula>0</formula>
    </cfRule>
  </conditionalFormatting>
  <conditionalFormatting sqref="K142">
    <cfRule type="cellIs" dxfId="2518" priority="7518" operator="greaterThan">
      <formula>70</formula>
    </cfRule>
  </conditionalFormatting>
  <conditionalFormatting sqref="S142">
    <cfRule type="cellIs" dxfId="2517" priority="7519" operator="lessThan">
      <formula>0</formula>
    </cfRule>
  </conditionalFormatting>
  <conditionalFormatting sqref="S142">
    <cfRule type="cellIs" dxfId="2516" priority="7520" operator="greaterThan">
      <formula>70</formula>
    </cfRule>
  </conditionalFormatting>
  <conditionalFormatting sqref="T142">
    <cfRule type="cellIs" dxfId="2515" priority="7521" operator="lessThan">
      <formula>0</formula>
    </cfRule>
  </conditionalFormatting>
  <conditionalFormatting sqref="T142">
    <cfRule type="cellIs" dxfId="2514" priority="7522" operator="greaterThan">
      <formula>30</formula>
    </cfRule>
  </conditionalFormatting>
  <conditionalFormatting sqref="C143">
    <cfRule type="cellIs" dxfId="2513" priority="7523" operator="lessThan">
      <formula>0</formula>
    </cfRule>
  </conditionalFormatting>
  <conditionalFormatting sqref="C143">
    <cfRule type="cellIs" dxfId="2512" priority="7524" operator="greaterThan">
      <formula>100</formula>
    </cfRule>
  </conditionalFormatting>
  <conditionalFormatting sqref="F143">
    <cfRule type="cellIs" dxfId="2511" priority="7525" operator="lessThan">
      <formula>0</formula>
    </cfRule>
  </conditionalFormatting>
  <conditionalFormatting sqref="F143">
    <cfRule type="cellIs" dxfId="2510" priority="7526" operator="greaterThan">
      <formula>70</formula>
    </cfRule>
  </conditionalFormatting>
  <conditionalFormatting sqref="G143">
    <cfRule type="cellIs" dxfId="2509" priority="7527" operator="lessThan">
      <formula>0</formula>
    </cfRule>
  </conditionalFormatting>
  <conditionalFormatting sqref="G143">
    <cfRule type="cellIs" dxfId="2508" priority="7528" operator="greaterThan">
      <formula>70</formula>
    </cfRule>
  </conditionalFormatting>
  <conditionalFormatting sqref="H143">
    <cfRule type="cellIs" dxfId="2507" priority="7529" operator="lessThan">
      <formula>0</formula>
    </cfRule>
  </conditionalFormatting>
  <conditionalFormatting sqref="H143">
    <cfRule type="cellIs" dxfId="2506" priority="7530" operator="greaterThan">
      <formula>70</formula>
    </cfRule>
  </conditionalFormatting>
  <conditionalFormatting sqref="I143">
    <cfRule type="cellIs" dxfId="2505" priority="7531" operator="lessThan">
      <formula>0</formula>
    </cfRule>
  </conditionalFormatting>
  <conditionalFormatting sqref="I143">
    <cfRule type="cellIs" dxfId="2504" priority="7532" operator="greaterThan">
      <formula>70</formula>
    </cfRule>
  </conditionalFormatting>
  <conditionalFormatting sqref="J143">
    <cfRule type="cellIs" dxfId="2503" priority="7533" operator="lessThan">
      <formula>0</formula>
    </cfRule>
  </conditionalFormatting>
  <conditionalFormatting sqref="J143">
    <cfRule type="cellIs" dxfId="2502" priority="7534" operator="greaterThan">
      <formula>70</formula>
    </cfRule>
  </conditionalFormatting>
  <conditionalFormatting sqref="K143">
    <cfRule type="cellIs" dxfId="2501" priority="7535" operator="lessThan">
      <formula>0</formula>
    </cfRule>
  </conditionalFormatting>
  <conditionalFormatting sqref="K143">
    <cfRule type="cellIs" dxfId="2500" priority="7536" operator="greaterThan">
      <formula>70</formula>
    </cfRule>
  </conditionalFormatting>
  <conditionalFormatting sqref="S143">
    <cfRule type="cellIs" dxfId="2499" priority="7537" operator="lessThan">
      <formula>0</formula>
    </cfRule>
  </conditionalFormatting>
  <conditionalFormatting sqref="S143">
    <cfRule type="cellIs" dxfId="2498" priority="7538" operator="greaterThan">
      <formula>70</formula>
    </cfRule>
  </conditionalFormatting>
  <conditionalFormatting sqref="T143">
    <cfRule type="cellIs" dxfId="2497" priority="7539" operator="lessThan">
      <formula>0</formula>
    </cfRule>
  </conditionalFormatting>
  <conditionalFormatting sqref="T143">
    <cfRule type="cellIs" dxfId="2496" priority="7540" operator="greaterThan">
      <formula>30</formula>
    </cfRule>
  </conditionalFormatting>
  <conditionalFormatting sqref="C144">
    <cfRule type="cellIs" dxfId="2495" priority="7541" operator="lessThan">
      <formula>0</formula>
    </cfRule>
  </conditionalFormatting>
  <conditionalFormatting sqref="C144">
    <cfRule type="cellIs" dxfId="2494" priority="7542" operator="greaterThan">
      <formula>100</formula>
    </cfRule>
  </conditionalFormatting>
  <conditionalFormatting sqref="F144">
    <cfRule type="cellIs" dxfId="2493" priority="7543" operator="lessThan">
      <formula>0</formula>
    </cfRule>
  </conditionalFormatting>
  <conditionalFormatting sqref="F144">
    <cfRule type="cellIs" dxfId="2492" priority="7544" operator="greaterThan">
      <formula>70</formula>
    </cfRule>
  </conditionalFormatting>
  <conditionalFormatting sqref="G144">
    <cfRule type="cellIs" dxfId="2491" priority="7545" operator="lessThan">
      <formula>0</formula>
    </cfRule>
  </conditionalFormatting>
  <conditionalFormatting sqref="G144">
    <cfRule type="cellIs" dxfId="2490" priority="7546" operator="greaterThan">
      <formula>70</formula>
    </cfRule>
  </conditionalFormatting>
  <conditionalFormatting sqref="H144">
    <cfRule type="cellIs" dxfId="2489" priority="7547" operator="lessThan">
      <formula>0</formula>
    </cfRule>
  </conditionalFormatting>
  <conditionalFormatting sqref="H144">
    <cfRule type="cellIs" dxfId="2488" priority="7548" operator="greaterThan">
      <formula>70</formula>
    </cfRule>
  </conditionalFormatting>
  <conditionalFormatting sqref="I144">
    <cfRule type="cellIs" dxfId="2487" priority="7549" operator="lessThan">
      <formula>0</formula>
    </cfRule>
  </conditionalFormatting>
  <conditionalFormatting sqref="I144">
    <cfRule type="cellIs" dxfId="2486" priority="7550" operator="greaterThan">
      <formula>70</formula>
    </cfRule>
  </conditionalFormatting>
  <conditionalFormatting sqref="J144">
    <cfRule type="cellIs" dxfId="2485" priority="7551" operator="lessThan">
      <formula>0</formula>
    </cfRule>
  </conditionalFormatting>
  <conditionalFormatting sqref="J144">
    <cfRule type="cellIs" dxfId="2484" priority="7552" operator="greaterThan">
      <formula>70</formula>
    </cfRule>
  </conditionalFormatting>
  <conditionalFormatting sqref="K144">
    <cfRule type="cellIs" dxfId="2483" priority="7553" operator="lessThan">
      <formula>0</formula>
    </cfRule>
  </conditionalFormatting>
  <conditionalFormatting sqref="K144">
    <cfRule type="cellIs" dxfId="2482" priority="7554" operator="greaterThan">
      <formula>70</formula>
    </cfRule>
  </conditionalFormatting>
  <conditionalFormatting sqref="S144">
    <cfRule type="cellIs" dxfId="2481" priority="7555" operator="lessThan">
      <formula>0</formula>
    </cfRule>
  </conditionalFormatting>
  <conditionalFormatting sqref="S144">
    <cfRule type="cellIs" dxfId="2480" priority="7556" operator="greaterThan">
      <formula>70</formula>
    </cfRule>
  </conditionalFormatting>
  <conditionalFormatting sqref="T144">
    <cfRule type="cellIs" dxfId="2479" priority="7557" operator="lessThan">
      <formula>0</formula>
    </cfRule>
  </conditionalFormatting>
  <conditionalFormatting sqref="T144">
    <cfRule type="cellIs" dxfId="2478" priority="7558" operator="greaterThan">
      <formula>30</formula>
    </cfRule>
  </conditionalFormatting>
  <conditionalFormatting sqref="C145">
    <cfRule type="cellIs" dxfId="2477" priority="7559" operator="lessThan">
      <formula>0</formula>
    </cfRule>
  </conditionalFormatting>
  <conditionalFormatting sqref="C145">
    <cfRule type="cellIs" dxfId="2476" priority="7560" operator="greaterThan">
      <formula>100</formula>
    </cfRule>
  </conditionalFormatting>
  <conditionalFormatting sqref="F145">
    <cfRule type="cellIs" dxfId="2475" priority="7561" operator="lessThan">
      <formula>0</formula>
    </cfRule>
  </conditionalFormatting>
  <conditionalFormatting sqref="F145">
    <cfRule type="cellIs" dxfId="2474" priority="7562" operator="greaterThan">
      <formula>70</formula>
    </cfRule>
  </conditionalFormatting>
  <conditionalFormatting sqref="G145">
    <cfRule type="cellIs" dxfId="2473" priority="7563" operator="lessThan">
      <formula>0</formula>
    </cfRule>
  </conditionalFormatting>
  <conditionalFormatting sqref="G145">
    <cfRule type="cellIs" dxfId="2472" priority="7564" operator="greaterThan">
      <formula>70</formula>
    </cfRule>
  </conditionalFormatting>
  <conditionalFormatting sqref="H145">
    <cfRule type="cellIs" dxfId="2471" priority="7565" operator="lessThan">
      <formula>0</formula>
    </cfRule>
  </conditionalFormatting>
  <conditionalFormatting sqref="H145">
    <cfRule type="cellIs" dxfId="2470" priority="7566" operator="greaterThan">
      <formula>70</formula>
    </cfRule>
  </conditionalFormatting>
  <conditionalFormatting sqref="I145">
    <cfRule type="cellIs" dxfId="2469" priority="7567" operator="lessThan">
      <formula>0</formula>
    </cfRule>
  </conditionalFormatting>
  <conditionalFormatting sqref="I145">
    <cfRule type="cellIs" dxfId="2468" priority="7568" operator="greaterThan">
      <formula>70</formula>
    </cfRule>
  </conditionalFormatting>
  <conditionalFormatting sqref="J145">
    <cfRule type="cellIs" dxfId="2467" priority="7569" operator="lessThan">
      <formula>0</formula>
    </cfRule>
  </conditionalFormatting>
  <conditionalFormatting sqref="J145">
    <cfRule type="cellIs" dxfId="2466" priority="7570" operator="greaterThan">
      <formula>70</formula>
    </cfRule>
  </conditionalFormatting>
  <conditionalFormatting sqref="K145">
    <cfRule type="cellIs" dxfId="2465" priority="7571" operator="lessThan">
      <formula>0</formula>
    </cfRule>
  </conditionalFormatting>
  <conditionalFormatting sqref="K145">
    <cfRule type="cellIs" dxfId="2464" priority="7572" operator="greaterThan">
      <formula>70</formula>
    </cfRule>
  </conditionalFormatting>
  <conditionalFormatting sqref="S145">
    <cfRule type="cellIs" dxfId="2463" priority="7573" operator="lessThan">
      <formula>0</formula>
    </cfRule>
  </conditionalFormatting>
  <conditionalFormatting sqref="S145">
    <cfRule type="cellIs" dxfId="2462" priority="7574" operator="greaterThan">
      <formula>70</formula>
    </cfRule>
  </conditionalFormatting>
  <conditionalFormatting sqref="T145">
    <cfRule type="cellIs" dxfId="2461" priority="7575" operator="lessThan">
      <formula>0</formula>
    </cfRule>
  </conditionalFormatting>
  <conditionalFormatting sqref="T145">
    <cfRule type="cellIs" dxfId="2460" priority="7576" operator="greaterThan">
      <formula>30</formula>
    </cfRule>
  </conditionalFormatting>
  <conditionalFormatting sqref="C146">
    <cfRule type="cellIs" dxfId="2459" priority="7577" operator="lessThan">
      <formula>0</formula>
    </cfRule>
  </conditionalFormatting>
  <conditionalFormatting sqref="C146">
    <cfRule type="cellIs" dxfId="2458" priority="7578" operator="greaterThan">
      <formula>100</formula>
    </cfRule>
  </conditionalFormatting>
  <conditionalFormatting sqref="F146">
    <cfRule type="cellIs" dxfId="2457" priority="7579" operator="lessThan">
      <formula>0</formula>
    </cfRule>
  </conditionalFormatting>
  <conditionalFormatting sqref="F146">
    <cfRule type="cellIs" dxfId="2456" priority="7580" operator="greaterThan">
      <formula>70</formula>
    </cfRule>
  </conditionalFormatting>
  <conditionalFormatting sqref="G146">
    <cfRule type="cellIs" dxfId="2455" priority="7581" operator="lessThan">
      <formula>0</formula>
    </cfRule>
  </conditionalFormatting>
  <conditionalFormatting sqref="G146">
    <cfRule type="cellIs" dxfId="2454" priority="7582" operator="greaterThan">
      <formula>70</formula>
    </cfRule>
  </conditionalFormatting>
  <conditionalFormatting sqref="H146">
    <cfRule type="cellIs" dxfId="2453" priority="7583" operator="lessThan">
      <formula>0</formula>
    </cfRule>
  </conditionalFormatting>
  <conditionalFormatting sqref="H146">
    <cfRule type="cellIs" dxfId="2452" priority="7584" operator="greaterThan">
      <formula>70</formula>
    </cfRule>
  </conditionalFormatting>
  <conditionalFormatting sqref="I146">
    <cfRule type="cellIs" dxfId="2451" priority="7585" operator="lessThan">
      <formula>0</formula>
    </cfRule>
  </conditionalFormatting>
  <conditionalFormatting sqref="I146">
    <cfRule type="cellIs" dxfId="2450" priority="7586" operator="greaterThan">
      <formula>70</formula>
    </cfRule>
  </conditionalFormatting>
  <conditionalFormatting sqref="J146">
    <cfRule type="cellIs" dxfId="2449" priority="7587" operator="lessThan">
      <formula>0</formula>
    </cfRule>
  </conditionalFormatting>
  <conditionalFormatting sqref="J146">
    <cfRule type="cellIs" dxfId="2448" priority="7588" operator="greaterThan">
      <formula>70</formula>
    </cfRule>
  </conditionalFormatting>
  <conditionalFormatting sqref="K146">
    <cfRule type="cellIs" dxfId="2447" priority="7589" operator="lessThan">
      <formula>0</formula>
    </cfRule>
  </conditionalFormatting>
  <conditionalFormatting sqref="K146">
    <cfRule type="cellIs" dxfId="2446" priority="7590" operator="greaterThan">
      <formula>70</formula>
    </cfRule>
  </conditionalFormatting>
  <conditionalFormatting sqref="S146">
    <cfRule type="cellIs" dxfId="2445" priority="7591" operator="lessThan">
      <formula>0</formula>
    </cfRule>
  </conditionalFormatting>
  <conditionalFormatting sqref="S146">
    <cfRule type="cellIs" dxfId="2444" priority="7592" operator="greaterThan">
      <formula>70</formula>
    </cfRule>
  </conditionalFormatting>
  <conditionalFormatting sqref="T146">
    <cfRule type="cellIs" dxfId="2443" priority="7593" operator="lessThan">
      <formula>0</formula>
    </cfRule>
  </conditionalFormatting>
  <conditionalFormatting sqref="T146">
    <cfRule type="cellIs" dxfId="2442" priority="7594" operator="greaterThan">
      <formula>30</formula>
    </cfRule>
  </conditionalFormatting>
  <conditionalFormatting sqref="C147">
    <cfRule type="cellIs" dxfId="2441" priority="7595" operator="lessThan">
      <formula>0</formula>
    </cfRule>
  </conditionalFormatting>
  <conditionalFormatting sqref="C147">
    <cfRule type="cellIs" dxfId="2440" priority="7596" operator="greaterThan">
      <formula>100</formula>
    </cfRule>
  </conditionalFormatting>
  <conditionalFormatting sqref="F147">
    <cfRule type="cellIs" dxfId="2439" priority="7597" operator="lessThan">
      <formula>0</formula>
    </cfRule>
  </conditionalFormatting>
  <conditionalFormatting sqref="F147">
    <cfRule type="cellIs" dxfId="2438" priority="7598" operator="greaterThan">
      <formula>70</formula>
    </cfRule>
  </conditionalFormatting>
  <conditionalFormatting sqref="G147">
    <cfRule type="cellIs" dxfId="2437" priority="7599" operator="lessThan">
      <formula>0</formula>
    </cfRule>
  </conditionalFormatting>
  <conditionalFormatting sqref="G147">
    <cfRule type="cellIs" dxfId="2436" priority="7600" operator="greaterThan">
      <formula>70</formula>
    </cfRule>
  </conditionalFormatting>
  <conditionalFormatting sqref="H147">
    <cfRule type="cellIs" dxfId="2435" priority="7601" operator="lessThan">
      <formula>0</formula>
    </cfRule>
  </conditionalFormatting>
  <conditionalFormatting sqref="H147">
    <cfRule type="cellIs" dxfId="2434" priority="7602" operator="greaterThan">
      <formula>70</formula>
    </cfRule>
  </conditionalFormatting>
  <conditionalFormatting sqref="I147">
    <cfRule type="cellIs" dxfId="2433" priority="7603" operator="lessThan">
      <formula>0</formula>
    </cfRule>
  </conditionalFormatting>
  <conditionalFormatting sqref="I147">
    <cfRule type="cellIs" dxfId="2432" priority="7604" operator="greaterThan">
      <formula>70</formula>
    </cfRule>
  </conditionalFormatting>
  <conditionalFormatting sqref="J147">
    <cfRule type="cellIs" dxfId="2431" priority="7605" operator="lessThan">
      <formula>0</formula>
    </cfRule>
  </conditionalFormatting>
  <conditionalFormatting sqref="J147">
    <cfRule type="cellIs" dxfId="2430" priority="7606" operator="greaterThan">
      <formula>70</formula>
    </cfRule>
  </conditionalFormatting>
  <conditionalFormatting sqref="K147">
    <cfRule type="cellIs" dxfId="2429" priority="7607" operator="lessThan">
      <formula>0</formula>
    </cfRule>
  </conditionalFormatting>
  <conditionalFormatting sqref="K147">
    <cfRule type="cellIs" dxfId="2428" priority="7608" operator="greaterThan">
      <formula>70</formula>
    </cfRule>
  </conditionalFormatting>
  <conditionalFormatting sqref="S147">
    <cfRule type="cellIs" dxfId="2427" priority="7609" operator="lessThan">
      <formula>0</formula>
    </cfRule>
  </conditionalFormatting>
  <conditionalFormatting sqref="S147">
    <cfRule type="cellIs" dxfId="2426" priority="7610" operator="greaterThan">
      <formula>70</formula>
    </cfRule>
  </conditionalFormatting>
  <conditionalFormatting sqref="T147">
    <cfRule type="cellIs" dxfId="2425" priority="7611" operator="lessThan">
      <formula>0</formula>
    </cfRule>
  </conditionalFormatting>
  <conditionalFormatting sqref="T147">
    <cfRule type="cellIs" dxfId="2424" priority="7612" operator="greaterThan">
      <formula>30</formula>
    </cfRule>
  </conditionalFormatting>
  <conditionalFormatting sqref="C148">
    <cfRule type="cellIs" dxfId="2423" priority="7613" operator="lessThan">
      <formula>0</formula>
    </cfRule>
  </conditionalFormatting>
  <conditionalFormatting sqref="C148">
    <cfRule type="cellIs" dxfId="2422" priority="7614" operator="greaterThan">
      <formula>100</formula>
    </cfRule>
  </conditionalFormatting>
  <conditionalFormatting sqref="F148">
    <cfRule type="cellIs" dxfId="2421" priority="7615" operator="lessThan">
      <formula>0</formula>
    </cfRule>
  </conditionalFormatting>
  <conditionalFormatting sqref="F148">
    <cfRule type="cellIs" dxfId="2420" priority="7616" operator="greaterThan">
      <formula>70</formula>
    </cfRule>
  </conditionalFormatting>
  <conditionalFormatting sqref="G148">
    <cfRule type="cellIs" dxfId="2419" priority="7617" operator="lessThan">
      <formula>0</formula>
    </cfRule>
  </conditionalFormatting>
  <conditionalFormatting sqref="G148">
    <cfRule type="cellIs" dxfId="2418" priority="7618" operator="greaterThan">
      <formula>70</formula>
    </cfRule>
  </conditionalFormatting>
  <conditionalFormatting sqref="H148">
    <cfRule type="cellIs" dxfId="2417" priority="7619" operator="lessThan">
      <formula>0</formula>
    </cfRule>
  </conditionalFormatting>
  <conditionalFormatting sqref="H148">
    <cfRule type="cellIs" dxfId="2416" priority="7620" operator="greaterThan">
      <formula>70</formula>
    </cfRule>
  </conditionalFormatting>
  <conditionalFormatting sqref="I148">
    <cfRule type="cellIs" dxfId="2415" priority="7621" operator="lessThan">
      <formula>0</formula>
    </cfRule>
  </conditionalFormatting>
  <conditionalFormatting sqref="I148">
    <cfRule type="cellIs" dxfId="2414" priority="7622" operator="greaterThan">
      <formula>70</formula>
    </cfRule>
  </conditionalFormatting>
  <conditionalFormatting sqref="J148">
    <cfRule type="cellIs" dxfId="2413" priority="7623" operator="lessThan">
      <formula>0</formula>
    </cfRule>
  </conditionalFormatting>
  <conditionalFormatting sqref="J148">
    <cfRule type="cellIs" dxfId="2412" priority="7624" operator="greaterThan">
      <formula>70</formula>
    </cfRule>
  </conditionalFormatting>
  <conditionalFormatting sqref="K148">
    <cfRule type="cellIs" dxfId="2411" priority="7625" operator="lessThan">
      <formula>0</formula>
    </cfRule>
  </conditionalFormatting>
  <conditionalFormatting sqref="K148">
    <cfRule type="cellIs" dxfId="2410" priority="7626" operator="greaterThan">
      <formula>70</formula>
    </cfRule>
  </conditionalFormatting>
  <conditionalFormatting sqref="S148">
    <cfRule type="cellIs" dxfId="2409" priority="7627" operator="lessThan">
      <formula>0</formula>
    </cfRule>
  </conditionalFormatting>
  <conditionalFormatting sqref="S148">
    <cfRule type="cellIs" dxfId="2408" priority="7628" operator="greaterThan">
      <formula>70</formula>
    </cfRule>
  </conditionalFormatting>
  <conditionalFormatting sqref="T148">
    <cfRule type="cellIs" dxfId="2407" priority="7629" operator="lessThan">
      <formula>0</formula>
    </cfRule>
  </conditionalFormatting>
  <conditionalFormatting sqref="T148">
    <cfRule type="cellIs" dxfId="2406" priority="7630" operator="greaterThan">
      <formula>30</formula>
    </cfRule>
  </conditionalFormatting>
  <conditionalFormatting sqref="C149">
    <cfRule type="cellIs" dxfId="2405" priority="7631" operator="lessThan">
      <formula>0</formula>
    </cfRule>
  </conditionalFormatting>
  <conditionalFormatting sqref="C149">
    <cfRule type="cellIs" dxfId="2404" priority="7632" operator="greaterThan">
      <formula>100</formula>
    </cfRule>
  </conditionalFormatting>
  <conditionalFormatting sqref="F149">
    <cfRule type="cellIs" dxfId="2403" priority="7633" operator="lessThan">
      <formula>0</formula>
    </cfRule>
  </conditionalFormatting>
  <conditionalFormatting sqref="F149">
    <cfRule type="cellIs" dxfId="2402" priority="7634" operator="greaterThan">
      <formula>70</formula>
    </cfRule>
  </conditionalFormatting>
  <conditionalFormatting sqref="G149">
    <cfRule type="cellIs" dxfId="2401" priority="7635" operator="lessThan">
      <formula>0</formula>
    </cfRule>
  </conditionalFormatting>
  <conditionalFormatting sqref="G149">
    <cfRule type="cellIs" dxfId="2400" priority="7636" operator="greaterThan">
      <formula>70</formula>
    </cfRule>
  </conditionalFormatting>
  <conditionalFormatting sqref="H149">
    <cfRule type="cellIs" dxfId="2399" priority="7637" operator="lessThan">
      <formula>0</formula>
    </cfRule>
  </conditionalFormatting>
  <conditionalFormatting sqref="H149">
    <cfRule type="cellIs" dxfId="2398" priority="7638" operator="greaterThan">
      <formula>70</formula>
    </cfRule>
  </conditionalFormatting>
  <conditionalFormatting sqref="I149">
    <cfRule type="cellIs" dxfId="2397" priority="7639" operator="lessThan">
      <formula>0</formula>
    </cfRule>
  </conditionalFormatting>
  <conditionalFormatting sqref="I149">
    <cfRule type="cellIs" dxfId="2396" priority="7640" operator="greaterThan">
      <formula>70</formula>
    </cfRule>
  </conditionalFormatting>
  <conditionalFormatting sqref="J149">
    <cfRule type="cellIs" dxfId="2395" priority="7641" operator="lessThan">
      <formula>0</formula>
    </cfRule>
  </conditionalFormatting>
  <conditionalFormatting sqref="J149">
    <cfRule type="cellIs" dxfId="2394" priority="7642" operator="greaterThan">
      <formula>70</formula>
    </cfRule>
  </conditionalFormatting>
  <conditionalFormatting sqref="K149">
    <cfRule type="cellIs" dxfId="2393" priority="7643" operator="lessThan">
      <formula>0</formula>
    </cfRule>
  </conditionalFormatting>
  <conditionalFormatting sqref="K149">
    <cfRule type="cellIs" dxfId="2392" priority="7644" operator="greaterThan">
      <formula>70</formula>
    </cfRule>
  </conditionalFormatting>
  <conditionalFormatting sqref="S149">
    <cfRule type="cellIs" dxfId="2391" priority="7645" operator="lessThan">
      <formula>0</formula>
    </cfRule>
  </conditionalFormatting>
  <conditionalFormatting sqref="S149">
    <cfRule type="cellIs" dxfId="2390" priority="7646" operator="greaterThan">
      <formula>70</formula>
    </cfRule>
  </conditionalFormatting>
  <conditionalFormatting sqref="T149">
    <cfRule type="cellIs" dxfId="2389" priority="7647" operator="lessThan">
      <formula>0</formula>
    </cfRule>
  </conditionalFormatting>
  <conditionalFormatting sqref="T149">
    <cfRule type="cellIs" dxfId="2388" priority="7648" operator="greaterThan">
      <formula>30</formula>
    </cfRule>
  </conditionalFormatting>
  <conditionalFormatting sqref="C150">
    <cfRule type="cellIs" dxfId="2387" priority="7649" operator="lessThan">
      <formula>0</formula>
    </cfRule>
  </conditionalFormatting>
  <conditionalFormatting sqref="C150">
    <cfRule type="cellIs" dxfId="2386" priority="7650" operator="greaterThan">
      <formula>100</formula>
    </cfRule>
  </conditionalFormatting>
  <conditionalFormatting sqref="F150">
    <cfRule type="cellIs" dxfId="2385" priority="7651" operator="lessThan">
      <formula>0</formula>
    </cfRule>
  </conditionalFormatting>
  <conditionalFormatting sqref="F150">
    <cfRule type="cellIs" dxfId="2384" priority="7652" operator="greaterThan">
      <formula>70</formula>
    </cfRule>
  </conditionalFormatting>
  <conditionalFormatting sqref="G150">
    <cfRule type="cellIs" dxfId="2383" priority="7653" operator="lessThan">
      <formula>0</formula>
    </cfRule>
  </conditionalFormatting>
  <conditionalFormatting sqref="G150">
    <cfRule type="cellIs" dxfId="2382" priority="7654" operator="greaterThan">
      <formula>70</formula>
    </cfRule>
  </conditionalFormatting>
  <conditionalFormatting sqref="H150">
    <cfRule type="cellIs" dxfId="2381" priority="7655" operator="lessThan">
      <formula>0</formula>
    </cfRule>
  </conditionalFormatting>
  <conditionalFormatting sqref="H150">
    <cfRule type="cellIs" dxfId="2380" priority="7656" operator="greaterThan">
      <formula>70</formula>
    </cfRule>
  </conditionalFormatting>
  <conditionalFormatting sqref="I150">
    <cfRule type="cellIs" dxfId="2379" priority="7657" operator="lessThan">
      <formula>0</formula>
    </cfRule>
  </conditionalFormatting>
  <conditionalFormatting sqref="I150">
    <cfRule type="cellIs" dxfId="2378" priority="7658" operator="greaterThan">
      <formula>70</formula>
    </cfRule>
  </conditionalFormatting>
  <conditionalFormatting sqref="J150">
    <cfRule type="cellIs" dxfId="2377" priority="7659" operator="lessThan">
      <formula>0</formula>
    </cfRule>
  </conditionalFormatting>
  <conditionalFormatting sqref="J150">
    <cfRule type="cellIs" dxfId="2376" priority="7660" operator="greaterThan">
      <formula>70</formula>
    </cfRule>
  </conditionalFormatting>
  <conditionalFormatting sqref="K150">
    <cfRule type="cellIs" dxfId="2375" priority="7661" operator="lessThan">
      <formula>0</formula>
    </cfRule>
  </conditionalFormatting>
  <conditionalFormatting sqref="K150">
    <cfRule type="cellIs" dxfId="2374" priority="7662" operator="greaterThan">
      <formula>70</formula>
    </cfRule>
  </conditionalFormatting>
  <conditionalFormatting sqref="S150">
    <cfRule type="cellIs" dxfId="2373" priority="7663" operator="lessThan">
      <formula>0</formula>
    </cfRule>
  </conditionalFormatting>
  <conditionalFormatting sqref="S150">
    <cfRule type="cellIs" dxfId="2372" priority="7664" operator="greaterThan">
      <formula>70</formula>
    </cfRule>
  </conditionalFormatting>
  <conditionalFormatting sqref="T150">
    <cfRule type="cellIs" dxfId="2371" priority="7665" operator="lessThan">
      <formula>0</formula>
    </cfRule>
  </conditionalFormatting>
  <conditionalFormatting sqref="T150">
    <cfRule type="cellIs" dxfId="2370" priority="7666" operator="greaterThan">
      <formula>30</formula>
    </cfRule>
  </conditionalFormatting>
  <conditionalFormatting sqref="C151">
    <cfRule type="cellIs" dxfId="2369" priority="7667" operator="lessThan">
      <formula>0</formula>
    </cfRule>
  </conditionalFormatting>
  <conditionalFormatting sqref="C151">
    <cfRule type="cellIs" dxfId="2368" priority="7668" operator="greaterThan">
      <formula>100</formula>
    </cfRule>
  </conditionalFormatting>
  <conditionalFormatting sqref="F151">
    <cfRule type="cellIs" dxfId="2367" priority="7669" operator="lessThan">
      <formula>0</formula>
    </cfRule>
  </conditionalFormatting>
  <conditionalFormatting sqref="F151">
    <cfRule type="cellIs" dxfId="2366" priority="7670" operator="greaterThan">
      <formula>70</formula>
    </cfRule>
  </conditionalFormatting>
  <conditionalFormatting sqref="G151">
    <cfRule type="cellIs" dxfId="2365" priority="7671" operator="lessThan">
      <formula>0</formula>
    </cfRule>
  </conditionalFormatting>
  <conditionalFormatting sqref="G151">
    <cfRule type="cellIs" dxfId="2364" priority="7672" operator="greaterThan">
      <formula>70</formula>
    </cfRule>
  </conditionalFormatting>
  <conditionalFormatting sqref="H151">
    <cfRule type="cellIs" dxfId="2363" priority="7673" operator="lessThan">
      <formula>0</formula>
    </cfRule>
  </conditionalFormatting>
  <conditionalFormatting sqref="H151">
    <cfRule type="cellIs" dxfId="2362" priority="7674" operator="greaterThan">
      <formula>70</formula>
    </cfRule>
  </conditionalFormatting>
  <conditionalFormatting sqref="I151">
    <cfRule type="cellIs" dxfId="2361" priority="7675" operator="lessThan">
      <formula>0</formula>
    </cfRule>
  </conditionalFormatting>
  <conditionalFormatting sqref="I151">
    <cfRule type="cellIs" dxfId="2360" priority="7676" operator="greaterThan">
      <formula>70</formula>
    </cfRule>
  </conditionalFormatting>
  <conditionalFormatting sqref="J151">
    <cfRule type="cellIs" dxfId="2359" priority="7677" operator="lessThan">
      <formula>0</formula>
    </cfRule>
  </conditionalFormatting>
  <conditionalFormatting sqref="J151">
    <cfRule type="cellIs" dxfId="2358" priority="7678" operator="greaterThan">
      <formula>70</formula>
    </cfRule>
  </conditionalFormatting>
  <conditionalFormatting sqref="K151">
    <cfRule type="cellIs" dxfId="2357" priority="7679" operator="lessThan">
      <formula>0</formula>
    </cfRule>
  </conditionalFormatting>
  <conditionalFormatting sqref="K151">
    <cfRule type="cellIs" dxfId="2356" priority="7680" operator="greaterThan">
      <formula>70</formula>
    </cfRule>
  </conditionalFormatting>
  <conditionalFormatting sqref="S151">
    <cfRule type="cellIs" dxfId="2355" priority="7681" operator="lessThan">
      <formula>0</formula>
    </cfRule>
  </conditionalFormatting>
  <conditionalFormatting sqref="S151">
    <cfRule type="cellIs" dxfId="2354" priority="7682" operator="greaterThan">
      <formula>70</formula>
    </cfRule>
  </conditionalFormatting>
  <conditionalFormatting sqref="T151">
    <cfRule type="cellIs" dxfId="2353" priority="7683" operator="lessThan">
      <formula>0</formula>
    </cfRule>
  </conditionalFormatting>
  <conditionalFormatting sqref="T151">
    <cfRule type="cellIs" dxfId="2352" priority="7684" operator="greaterThan">
      <formula>30</formula>
    </cfRule>
  </conditionalFormatting>
  <conditionalFormatting sqref="C152">
    <cfRule type="cellIs" dxfId="2351" priority="7685" operator="lessThan">
      <formula>0</formula>
    </cfRule>
  </conditionalFormatting>
  <conditionalFormatting sqref="C152">
    <cfRule type="cellIs" dxfId="2350" priority="7686" operator="greaterThan">
      <formula>100</formula>
    </cfRule>
  </conditionalFormatting>
  <conditionalFormatting sqref="F152">
    <cfRule type="cellIs" dxfId="2349" priority="7687" operator="lessThan">
      <formula>0</formula>
    </cfRule>
  </conditionalFormatting>
  <conditionalFormatting sqref="F152">
    <cfRule type="cellIs" dxfId="2348" priority="7688" operator="greaterThan">
      <formula>70</formula>
    </cfRule>
  </conditionalFormatting>
  <conditionalFormatting sqref="G152">
    <cfRule type="cellIs" dxfId="2347" priority="7689" operator="lessThan">
      <formula>0</formula>
    </cfRule>
  </conditionalFormatting>
  <conditionalFormatting sqref="G152">
    <cfRule type="cellIs" dxfId="2346" priority="7690" operator="greaterThan">
      <formula>70</formula>
    </cfRule>
  </conditionalFormatting>
  <conditionalFormatting sqref="H152">
    <cfRule type="cellIs" dxfId="2345" priority="7691" operator="lessThan">
      <formula>0</formula>
    </cfRule>
  </conditionalFormatting>
  <conditionalFormatting sqref="H152">
    <cfRule type="cellIs" dxfId="2344" priority="7692" operator="greaterThan">
      <formula>70</formula>
    </cfRule>
  </conditionalFormatting>
  <conditionalFormatting sqref="I152">
    <cfRule type="cellIs" dxfId="2343" priority="7693" operator="lessThan">
      <formula>0</formula>
    </cfRule>
  </conditionalFormatting>
  <conditionalFormatting sqref="I152">
    <cfRule type="cellIs" dxfId="2342" priority="7694" operator="greaterThan">
      <formula>70</formula>
    </cfRule>
  </conditionalFormatting>
  <conditionalFormatting sqref="J152">
    <cfRule type="cellIs" dxfId="2341" priority="7695" operator="lessThan">
      <formula>0</formula>
    </cfRule>
  </conditionalFormatting>
  <conditionalFormatting sqref="J152">
    <cfRule type="cellIs" dxfId="2340" priority="7696" operator="greaterThan">
      <formula>70</formula>
    </cfRule>
  </conditionalFormatting>
  <conditionalFormatting sqref="K152">
    <cfRule type="cellIs" dxfId="2339" priority="7697" operator="lessThan">
      <formula>0</formula>
    </cfRule>
  </conditionalFormatting>
  <conditionalFormatting sqref="K152">
    <cfRule type="cellIs" dxfId="2338" priority="7698" operator="greaterThan">
      <formula>70</formula>
    </cfRule>
  </conditionalFormatting>
  <conditionalFormatting sqref="S152">
    <cfRule type="cellIs" dxfId="2337" priority="7699" operator="lessThan">
      <formula>0</formula>
    </cfRule>
  </conditionalFormatting>
  <conditionalFormatting sqref="S152">
    <cfRule type="cellIs" dxfId="2336" priority="7700" operator="greaterThan">
      <formula>70</formula>
    </cfRule>
  </conditionalFormatting>
  <conditionalFormatting sqref="T152">
    <cfRule type="cellIs" dxfId="2335" priority="7701" operator="lessThan">
      <formula>0</formula>
    </cfRule>
  </conditionalFormatting>
  <conditionalFormatting sqref="T152">
    <cfRule type="cellIs" dxfId="2334" priority="7702" operator="greaterThan">
      <formula>30</formula>
    </cfRule>
  </conditionalFormatting>
  <conditionalFormatting sqref="C153">
    <cfRule type="cellIs" dxfId="2333" priority="7703" operator="lessThan">
      <formula>0</formula>
    </cfRule>
  </conditionalFormatting>
  <conditionalFormatting sqref="C153">
    <cfRule type="cellIs" dxfId="2332" priority="7704" operator="greaterThan">
      <formula>100</formula>
    </cfRule>
  </conditionalFormatting>
  <conditionalFormatting sqref="F153">
    <cfRule type="cellIs" dxfId="2331" priority="7705" operator="lessThan">
      <formula>0</formula>
    </cfRule>
  </conditionalFormatting>
  <conditionalFormatting sqref="F153">
    <cfRule type="cellIs" dxfId="2330" priority="7706" operator="greaterThan">
      <formula>70</formula>
    </cfRule>
  </conditionalFormatting>
  <conditionalFormatting sqref="G153">
    <cfRule type="cellIs" dxfId="2329" priority="7707" operator="lessThan">
      <formula>0</formula>
    </cfRule>
  </conditionalFormatting>
  <conditionalFormatting sqref="G153">
    <cfRule type="cellIs" dxfId="2328" priority="7708" operator="greaterThan">
      <formula>70</formula>
    </cfRule>
  </conditionalFormatting>
  <conditionalFormatting sqref="H153">
    <cfRule type="cellIs" dxfId="2327" priority="7709" operator="lessThan">
      <formula>0</formula>
    </cfRule>
  </conditionalFormatting>
  <conditionalFormatting sqref="H153">
    <cfRule type="cellIs" dxfId="2326" priority="7710" operator="greaterThan">
      <formula>70</formula>
    </cfRule>
  </conditionalFormatting>
  <conditionalFormatting sqref="I153">
    <cfRule type="cellIs" dxfId="2325" priority="7711" operator="lessThan">
      <formula>0</formula>
    </cfRule>
  </conditionalFormatting>
  <conditionalFormatting sqref="I153">
    <cfRule type="cellIs" dxfId="2324" priority="7712" operator="greaterThan">
      <formula>70</formula>
    </cfRule>
  </conditionalFormatting>
  <conditionalFormatting sqref="J153">
    <cfRule type="cellIs" dxfId="2323" priority="7713" operator="lessThan">
      <formula>0</formula>
    </cfRule>
  </conditionalFormatting>
  <conditionalFormatting sqref="J153">
    <cfRule type="cellIs" dxfId="2322" priority="7714" operator="greaterThan">
      <formula>70</formula>
    </cfRule>
  </conditionalFormatting>
  <conditionalFormatting sqref="K153">
    <cfRule type="cellIs" dxfId="2321" priority="7715" operator="lessThan">
      <formula>0</formula>
    </cfRule>
  </conditionalFormatting>
  <conditionalFormatting sqref="K153">
    <cfRule type="cellIs" dxfId="2320" priority="7716" operator="greaterThan">
      <formula>70</formula>
    </cfRule>
  </conditionalFormatting>
  <conditionalFormatting sqref="S153">
    <cfRule type="cellIs" dxfId="2319" priority="7717" operator="lessThan">
      <formula>0</formula>
    </cfRule>
  </conditionalFormatting>
  <conditionalFormatting sqref="S153">
    <cfRule type="cellIs" dxfId="2318" priority="7718" operator="greaterThan">
      <formula>70</formula>
    </cfRule>
  </conditionalFormatting>
  <conditionalFormatting sqref="T153">
    <cfRule type="cellIs" dxfId="2317" priority="7719" operator="lessThan">
      <formula>0</formula>
    </cfRule>
  </conditionalFormatting>
  <conditionalFormatting sqref="T153">
    <cfRule type="cellIs" dxfId="2316" priority="7720" operator="greaterThan">
      <formula>30</formula>
    </cfRule>
  </conditionalFormatting>
  <conditionalFormatting sqref="C154">
    <cfRule type="cellIs" dxfId="2315" priority="7721" operator="lessThan">
      <formula>0</formula>
    </cfRule>
  </conditionalFormatting>
  <conditionalFormatting sqref="C154">
    <cfRule type="cellIs" dxfId="2314" priority="7722" operator="greaterThan">
      <formula>100</formula>
    </cfRule>
  </conditionalFormatting>
  <conditionalFormatting sqref="F154">
    <cfRule type="cellIs" dxfId="2313" priority="7723" operator="lessThan">
      <formula>0</formula>
    </cfRule>
  </conditionalFormatting>
  <conditionalFormatting sqref="F154">
    <cfRule type="cellIs" dxfId="2312" priority="7724" operator="greaterThan">
      <formula>70</formula>
    </cfRule>
  </conditionalFormatting>
  <conditionalFormatting sqref="G154">
    <cfRule type="cellIs" dxfId="2311" priority="7725" operator="lessThan">
      <formula>0</formula>
    </cfRule>
  </conditionalFormatting>
  <conditionalFormatting sqref="G154">
    <cfRule type="cellIs" dxfId="2310" priority="7726" operator="greaterThan">
      <formula>70</formula>
    </cfRule>
  </conditionalFormatting>
  <conditionalFormatting sqref="H154">
    <cfRule type="cellIs" dxfId="2309" priority="7727" operator="lessThan">
      <formula>0</formula>
    </cfRule>
  </conditionalFormatting>
  <conditionalFormatting sqref="H154">
    <cfRule type="cellIs" dxfId="2308" priority="7728" operator="greaterThan">
      <formula>70</formula>
    </cfRule>
  </conditionalFormatting>
  <conditionalFormatting sqref="I154">
    <cfRule type="cellIs" dxfId="2307" priority="7729" operator="lessThan">
      <formula>0</formula>
    </cfRule>
  </conditionalFormatting>
  <conditionalFormatting sqref="I154">
    <cfRule type="cellIs" dxfId="2306" priority="7730" operator="greaterThan">
      <formula>70</formula>
    </cfRule>
  </conditionalFormatting>
  <conditionalFormatting sqref="J154">
    <cfRule type="cellIs" dxfId="2305" priority="7731" operator="lessThan">
      <formula>0</formula>
    </cfRule>
  </conditionalFormatting>
  <conditionalFormatting sqref="J154">
    <cfRule type="cellIs" dxfId="2304" priority="7732" operator="greaterThan">
      <formula>70</formula>
    </cfRule>
  </conditionalFormatting>
  <conditionalFormatting sqref="K154">
    <cfRule type="cellIs" dxfId="2303" priority="7733" operator="lessThan">
      <formula>0</formula>
    </cfRule>
  </conditionalFormatting>
  <conditionalFormatting sqref="K154">
    <cfRule type="cellIs" dxfId="2302" priority="7734" operator="greaterThan">
      <formula>70</formula>
    </cfRule>
  </conditionalFormatting>
  <conditionalFormatting sqref="S154">
    <cfRule type="cellIs" dxfId="2301" priority="7735" operator="lessThan">
      <formula>0</formula>
    </cfRule>
  </conditionalFormatting>
  <conditionalFormatting sqref="S154">
    <cfRule type="cellIs" dxfId="2300" priority="7736" operator="greaterThan">
      <formula>70</formula>
    </cfRule>
  </conditionalFormatting>
  <conditionalFormatting sqref="T154">
    <cfRule type="cellIs" dxfId="2299" priority="7737" operator="lessThan">
      <formula>0</formula>
    </cfRule>
  </conditionalFormatting>
  <conditionalFormatting sqref="T154">
    <cfRule type="cellIs" dxfId="2298" priority="7738" operator="greaterThan">
      <formula>30</formula>
    </cfRule>
  </conditionalFormatting>
  <conditionalFormatting sqref="C155">
    <cfRule type="cellIs" dxfId="2297" priority="7739" operator="lessThan">
      <formula>0</formula>
    </cfRule>
  </conditionalFormatting>
  <conditionalFormatting sqref="C155">
    <cfRule type="cellIs" dxfId="2296" priority="7740" operator="greaterThan">
      <formula>100</formula>
    </cfRule>
  </conditionalFormatting>
  <conditionalFormatting sqref="F155">
    <cfRule type="cellIs" dxfId="2295" priority="7741" operator="lessThan">
      <formula>0</formula>
    </cfRule>
  </conditionalFormatting>
  <conditionalFormatting sqref="F155">
    <cfRule type="cellIs" dxfId="2294" priority="7742" operator="greaterThan">
      <formula>70</formula>
    </cfRule>
  </conditionalFormatting>
  <conditionalFormatting sqref="G155">
    <cfRule type="cellIs" dxfId="2293" priority="7743" operator="lessThan">
      <formula>0</formula>
    </cfRule>
  </conditionalFormatting>
  <conditionalFormatting sqref="G155">
    <cfRule type="cellIs" dxfId="2292" priority="7744" operator="greaterThan">
      <formula>70</formula>
    </cfRule>
  </conditionalFormatting>
  <conditionalFormatting sqref="H155">
    <cfRule type="cellIs" dxfId="2291" priority="7745" operator="lessThan">
      <formula>0</formula>
    </cfRule>
  </conditionalFormatting>
  <conditionalFormatting sqref="H155">
    <cfRule type="cellIs" dxfId="2290" priority="7746" operator="greaterThan">
      <formula>70</formula>
    </cfRule>
  </conditionalFormatting>
  <conditionalFormatting sqref="I155">
    <cfRule type="cellIs" dxfId="2289" priority="7747" operator="lessThan">
      <formula>0</formula>
    </cfRule>
  </conditionalFormatting>
  <conditionalFormatting sqref="I155">
    <cfRule type="cellIs" dxfId="2288" priority="7748" operator="greaterThan">
      <formula>70</formula>
    </cfRule>
  </conditionalFormatting>
  <conditionalFormatting sqref="J155">
    <cfRule type="cellIs" dxfId="2287" priority="7749" operator="lessThan">
      <formula>0</formula>
    </cfRule>
  </conditionalFormatting>
  <conditionalFormatting sqref="J155">
    <cfRule type="cellIs" dxfId="2286" priority="7750" operator="greaterThan">
      <formula>70</formula>
    </cfRule>
  </conditionalFormatting>
  <conditionalFormatting sqref="K155">
    <cfRule type="cellIs" dxfId="2285" priority="7751" operator="lessThan">
      <formula>0</formula>
    </cfRule>
  </conditionalFormatting>
  <conditionalFormatting sqref="K155">
    <cfRule type="cellIs" dxfId="2284" priority="7752" operator="greaterThan">
      <formula>70</formula>
    </cfRule>
  </conditionalFormatting>
  <conditionalFormatting sqref="S155">
    <cfRule type="cellIs" dxfId="2283" priority="7753" operator="lessThan">
      <formula>0</formula>
    </cfRule>
  </conditionalFormatting>
  <conditionalFormatting sqref="S155">
    <cfRule type="cellIs" dxfId="2282" priority="7754" operator="greaterThan">
      <formula>70</formula>
    </cfRule>
  </conditionalFormatting>
  <conditionalFormatting sqref="T155">
    <cfRule type="cellIs" dxfId="2281" priority="7755" operator="lessThan">
      <formula>0</formula>
    </cfRule>
  </conditionalFormatting>
  <conditionalFormatting sqref="T155">
    <cfRule type="cellIs" dxfId="2280" priority="7756" operator="greaterThan">
      <formula>30</formula>
    </cfRule>
  </conditionalFormatting>
  <conditionalFormatting sqref="C156">
    <cfRule type="cellIs" dxfId="2279" priority="7757" operator="lessThan">
      <formula>0</formula>
    </cfRule>
  </conditionalFormatting>
  <conditionalFormatting sqref="C156">
    <cfRule type="cellIs" dxfId="2278" priority="7758" operator="greaterThan">
      <formula>100</formula>
    </cfRule>
  </conditionalFormatting>
  <conditionalFormatting sqref="F156">
    <cfRule type="cellIs" dxfId="2277" priority="7759" operator="lessThan">
      <formula>0</formula>
    </cfRule>
  </conditionalFormatting>
  <conditionalFormatting sqref="F156">
    <cfRule type="cellIs" dxfId="2276" priority="7760" operator="greaterThan">
      <formula>70</formula>
    </cfRule>
  </conditionalFormatting>
  <conditionalFormatting sqref="G156">
    <cfRule type="cellIs" dxfId="2275" priority="7761" operator="lessThan">
      <formula>0</formula>
    </cfRule>
  </conditionalFormatting>
  <conditionalFormatting sqref="G156">
    <cfRule type="cellIs" dxfId="2274" priority="7762" operator="greaterThan">
      <formula>70</formula>
    </cfRule>
  </conditionalFormatting>
  <conditionalFormatting sqref="H156">
    <cfRule type="cellIs" dxfId="2273" priority="7763" operator="lessThan">
      <formula>0</formula>
    </cfRule>
  </conditionalFormatting>
  <conditionalFormatting sqref="H156">
    <cfRule type="cellIs" dxfId="2272" priority="7764" operator="greaterThan">
      <formula>70</formula>
    </cfRule>
  </conditionalFormatting>
  <conditionalFormatting sqref="I156">
    <cfRule type="cellIs" dxfId="2271" priority="7765" operator="lessThan">
      <formula>0</formula>
    </cfRule>
  </conditionalFormatting>
  <conditionalFormatting sqref="I156">
    <cfRule type="cellIs" dxfId="2270" priority="7766" operator="greaterThan">
      <formula>70</formula>
    </cfRule>
  </conditionalFormatting>
  <conditionalFormatting sqref="J156">
    <cfRule type="cellIs" dxfId="2269" priority="7767" operator="lessThan">
      <formula>0</formula>
    </cfRule>
  </conditionalFormatting>
  <conditionalFormatting sqref="J156">
    <cfRule type="cellIs" dxfId="2268" priority="7768" operator="greaterThan">
      <formula>70</formula>
    </cfRule>
  </conditionalFormatting>
  <conditionalFormatting sqref="K156">
    <cfRule type="cellIs" dxfId="2267" priority="7769" operator="lessThan">
      <formula>0</formula>
    </cfRule>
  </conditionalFormatting>
  <conditionalFormatting sqref="K156">
    <cfRule type="cellIs" dxfId="2266" priority="7770" operator="greaterThan">
      <formula>70</formula>
    </cfRule>
  </conditionalFormatting>
  <conditionalFormatting sqref="S156">
    <cfRule type="cellIs" dxfId="2265" priority="7771" operator="lessThan">
      <formula>0</formula>
    </cfRule>
  </conditionalFormatting>
  <conditionalFormatting sqref="S156">
    <cfRule type="cellIs" dxfId="2264" priority="7772" operator="greaterThan">
      <formula>70</formula>
    </cfRule>
  </conditionalFormatting>
  <conditionalFormatting sqref="T156">
    <cfRule type="cellIs" dxfId="2263" priority="7773" operator="lessThan">
      <formula>0</formula>
    </cfRule>
  </conditionalFormatting>
  <conditionalFormatting sqref="T156">
    <cfRule type="cellIs" dxfId="2262" priority="7774" operator="greaterThan">
      <formula>30</formula>
    </cfRule>
  </conditionalFormatting>
  <conditionalFormatting sqref="C157">
    <cfRule type="cellIs" dxfId="2261" priority="7775" operator="lessThan">
      <formula>0</formula>
    </cfRule>
  </conditionalFormatting>
  <conditionalFormatting sqref="C157">
    <cfRule type="cellIs" dxfId="2260" priority="7776" operator="greaterThan">
      <formula>100</formula>
    </cfRule>
  </conditionalFormatting>
  <conditionalFormatting sqref="F157">
    <cfRule type="cellIs" dxfId="2259" priority="7777" operator="lessThan">
      <formula>0</formula>
    </cfRule>
  </conditionalFormatting>
  <conditionalFormatting sqref="F157">
    <cfRule type="cellIs" dxfId="2258" priority="7778" operator="greaterThan">
      <formula>70</formula>
    </cfRule>
  </conditionalFormatting>
  <conditionalFormatting sqref="G157">
    <cfRule type="cellIs" dxfId="2257" priority="7779" operator="lessThan">
      <formula>0</formula>
    </cfRule>
  </conditionalFormatting>
  <conditionalFormatting sqref="G157">
    <cfRule type="cellIs" dxfId="2256" priority="7780" operator="greaterThan">
      <formula>70</formula>
    </cfRule>
  </conditionalFormatting>
  <conditionalFormatting sqref="H157">
    <cfRule type="cellIs" dxfId="2255" priority="7781" operator="lessThan">
      <formula>0</formula>
    </cfRule>
  </conditionalFormatting>
  <conditionalFormatting sqref="H157">
    <cfRule type="cellIs" dxfId="2254" priority="7782" operator="greaterThan">
      <formula>70</formula>
    </cfRule>
  </conditionalFormatting>
  <conditionalFormatting sqref="I157">
    <cfRule type="cellIs" dxfId="2253" priority="7783" operator="lessThan">
      <formula>0</formula>
    </cfRule>
  </conditionalFormatting>
  <conditionalFormatting sqref="I157">
    <cfRule type="cellIs" dxfId="2252" priority="7784" operator="greaterThan">
      <formula>70</formula>
    </cfRule>
  </conditionalFormatting>
  <conditionalFormatting sqref="J157">
    <cfRule type="cellIs" dxfId="2251" priority="7785" operator="lessThan">
      <formula>0</formula>
    </cfRule>
  </conditionalFormatting>
  <conditionalFormatting sqref="J157">
    <cfRule type="cellIs" dxfId="2250" priority="7786" operator="greaterThan">
      <formula>70</formula>
    </cfRule>
  </conditionalFormatting>
  <conditionalFormatting sqref="K157">
    <cfRule type="cellIs" dxfId="2249" priority="7787" operator="lessThan">
      <formula>0</formula>
    </cfRule>
  </conditionalFormatting>
  <conditionalFormatting sqref="K157">
    <cfRule type="cellIs" dxfId="2248" priority="7788" operator="greaterThan">
      <formula>70</formula>
    </cfRule>
  </conditionalFormatting>
  <conditionalFormatting sqref="S157">
    <cfRule type="cellIs" dxfId="2247" priority="7789" operator="lessThan">
      <formula>0</formula>
    </cfRule>
  </conditionalFormatting>
  <conditionalFormatting sqref="S157">
    <cfRule type="cellIs" dxfId="2246" priority="7790" operator="greaterThan">
      <formula>70</formula>
    </cfRule>
  </conditionalFormatting>
  <conditionalFormatting sqref="T157">
    <cfRule type="cellIs" dxfId="2245" priority="7791" operator="lessThan">
      <formula>0</formula>
    </cfRule>
  </conditionalFormatting>
  <conditionalFormatting sqref="T157">
    <cfRule type="cellIs" dxfId="2244" priority="7792" operator="greaterThan">
      <formula>30</formula>
    </cfRule>
  </conditionalFormatting>
  <conditionalFormatting sqref="C158">
    <cfRule type="cellIs" dxfId="2243" priority="7793" operator="lessThan">
      <formula>0</formula>
    </cfRule>
  </conditionalFormatting>
  <conditionalFormatting sqref="C158">
    <cfRule type="cellIs" dxfId="2242" priority="7794" operator="greaterThan">
      <formula>100</formula>
    </cfRule>
  </conditionalFormatting>
  <conditionalFormatting sqref="F158">
    <cfRule type="cellIs" dxfId="2241" priority="7795" operator="lessThan">
      <formula>0</formula>
    </cfRule>
  </conditionalFormatting>
  <conditionalFormatting sqref="F158">
    <cfRule type="cellIs" dxfId="2240" priority="7796" operator="greaterThan">
      <formula>70</formula>
    </cfRule>
  </conditionalFormatting>
  <conditionalFormatting sqref="G158">
    <cfRule type="cellIs" dxfId="2239" priority="7797" operator="lessThan">
      <formula>0</formula>
    </cfRule>
  </conditionalFormatting>
  <conditionalFormatting sqref="G158">
    <cfRule type="cellIs" dxfId="2238" priority="7798" operator="greaterThan">
      <formula>70</formula>
    </cfRule>
  </conditionalFormatting>
  <conditionalFormatting sqref="H158">
    <cfRule type="cellIs" dxfId="2237" priority="7799" operator="lessThan">
      <formula>0</formula>
    </cfRule>
  </conditionalFormatting>
  <conditionalFormatting sqref="H158">
    <cfRule type="cellIs" dxfId="2236" priority="7800" operator="greaterThan">
      <formula>70</formula>
    </cfRule>
  </conditionalFormatting>
  <conditionalFormatting sqref="I158">
    <cfRule type="cellIs" dxfId="2235" priority="7801" operator="lessThan">
      <formula>0</formula>
    </cfRule>
  </conditionalFormatting>
  <conditionalFormatting sqref="I158">
    <cfRule type="cellIs" dxfId="2234" priority="7802" operator="greaterThan">
      <formula>70</formula>
    </cfRule>
  </conditionalFormatting>
  <conditionalFormatting sqref="J158">
    <cfRule type="cellIs" dxfId="2233" priority="7803" operator="lessThan">
      <formula>0</formula>
    </cfRule>
  </conditionalFormatting>
  <conditionalFormatting sqref="J158">
    <cfRule type="cellIs" dxfId="2232" priority="7804" operator="greaterThan">
      <formula>70</formula>
    </cfRule>
  </conditionalFormatting>
  <conditionalFormatting sqref="K158">
    <cfRule type="cellIs" dxfId="2231" priority="7805" operator="lessThan">
      <formula>0</formula>
    </cfRule>
  </conditionalFormatting>
  <conditionalFormatting sqref="K158">
    <cfRule type="cellIs" dxfId="2230" priority="7806" operator="greaterThan">
      <formula>70</formula>
    </cfRule>
  </conditionalFormatting>
  <conditionalFormatting sqref="S158">
    <cfRule type="cellIs" dxfId="2229" priority="7807" operator="lessThan">
      <formula>0</formula>
    </cfRule>
  </conditionalFormatting>
  <conditionalFormatting sqref="S158">
    <cfRule type="cellIs" dxfId="2228" priority="7808" operator="greaterThan">
      <formula>70</formula>
    </cfRule>
  </conditionalFormatting>
  <conditionalFormatting sqref="T158">
    <cfRule type="cellIs" dxfId="2227" priority="7809" operator="lessThan">
      <formula>0</formula>
    </cfRule>
  </conditionalFormatting>
  <conditionalFormatting sqref="T158">
    <cfRule type="cellIs" dxfId="2226" priority="7810" operator="greaterThan">
      <formula>30</formula>
    </cfRule>
  </conditionalFormatting>
  <conditionalFormatting sqref="C159">
    <cfRule type="cellIs" dxfId="2225" priority="7811" operator="lessThan">
      <formula>0</formula>
    </cfRule>
  </conditionalFormatting>
  <conditionalFormatting sqref="C159">
    <cfRule type="cellIs" dxfId="2224" priority="7812" operator="greaterThan">
      <formula>100</formula>
    </cfRule>
  </conditionalFormatting>
  <conditionalFormatting sqref="F159">
    <cfRule type="cellIs" dxfId="2223" priority="7813" operator="lessThan">
      <formula>0</formula>
    </cfRule>
  </conditionalFormatting>
  <conditionalFormatting sqref="F159">
    <cfRule type="cellIs" dxfId="2222" priority="7814" operator="greaterThan">
      <formula>70</formula>
    </cfRule>
  </conditionalFormatting>
  <conditionalFormatting sqref="G159">
    <cfRule type="cellIs" dxfId="2221" priority="7815" operator="lessThan">
      <formula>0</formula>
    </cfRule>
  </conditionalFormatting>
  <conditionalFormatting sqref="G159">
    <cfRule type="cellIs" dxfId="2220" priority="7816" operator="greaterThan">
      <formula>70</formula>
    </cfRule>
  </conditionalFormatting>
  <conditionalFormatting sqref="H159">
    <cfRule type="cellIs" dxfId="2219" priority="7817" operator="lessThan">
      <formula>0</formula>
    </cfRule>
  </conditionalFormatting>
  <conditionalFormatting sqref="H159">
    <cfRule type="cellIs" dxfId="2218" priority="7818" operator="greaterThan">
      <formula>70</formula>
    </cfRule>
  </conditionalFormatting>
  <conditionalFormatting sqref="I159">
    <cfRule type="cellIs" dxfId="2217" priority="7819" operator="lessThan">
      <formula>0</formula>
    </cfRule>
  </conditionalFormatting>
  <conditionalFormatting sqref="I159">
    <cfRule type="cellIs" dxfId="2216" priority="7820" operator="greaterThan">
      <formula>70</formula>
    </cfRule>
  </conditionalFormatting>
  <conditionalFormatting sqref="J159">
    <cfRule type="cellIs" dxfId="2215" priority="7821" operator="lessThan">
      <formula>0</formula>
    </cfRule>
  </conditionalFormatting>
  <conditionalFormatting sqref="J159">
    <cfRule type="cellIs" dxfId="2214" priority="7822" operator="greaterThan">
      <formula>70</formula>
    </cfRule>
  </conditionalFormatting>
  <conditionalFormatting sqref="K159">
    <cfRule type="cellIs" dxfId="2213" priority="7823" operator="lessThan">
      <formula>0</formula>
    </cfRule>
  </conditionalFormatting>
  <conditionalFormatting sqref="K159">
    <cfRule type="cellIs" dxfId="2212" priority="7824" operator="greaterThan">
      <formula>70</formula>
    </cfRule>
  </conditionalFormatting>
  <conditionalFormatting sqref="S159">
    <cfRule type="cellIs" dxfId="2211" priority="7825" operator="lessThan">
      <formula>0</formula>
    </cfRule>
  </conditionalFormatting>
  <conditionalFormatting sqref="S159">
    <cfRule type="cellIs" dxfId="2210" priority="7826" operator="greaterThan">
      <formula>70</formula>
    </cfRule>
  </conditionalFormatting>
  <conditionalFormatting sqref="T159">
    <cfRule type="cellIs" dxfId="2209" priority="7827" operator="lessThan">
      <formula>0</formula>
    </cfRule>
  </conditionalFormatting>
  <conditionalFormatting sqref="T159">
    <cfRule type="cellIs" dxfId="2208" priority="7828" operator="greaterThan">
      <formula>30</formula>
    </cfRule>
  </conditionalFormatting>
  <conditionalFormatting sqref="C160">
    <cfRule type="cellIs" dxfId="2207" priority="7829" operator="lessThan">
      <formula>0</formula>
    </cfRule>
  </conditionalFormatting>
  <conditionalFormatting sqref="C160">
    <cfRule type="cellIs" dxfId="2206" priority="7830" operator="greaterThan">
      <formula>100</formula>
    </cfRule>
  </conditionalFormatting>
  <conditionalFormatting sqref="F160">
    <cfRule type="cellIs" dxfId="2205" priority="7831" operator="lessThan">
      <formula>0</formula>
    </cfRule>
  </conditionalFormatting>
  <conditionalFormatting sqref="F160">
    <cfRule type="cellIs" dxfId="2204" priority="7832" operator="greaterThan">
      <formula>70</formula>
    </cfRule>
  </conditionalFormatting>
  <conditionalFormatting sqref="G160">
    <cfRule type="cellIs" dxfId="2203" priority="7833" operator="lessThan">
      <formula>0</formula>
    </cfRule>
  </conditionalFormatting>
  <conditionalFormatting sqref="G160">
    <cfRule type="cellIs" dxfId="2202" priority="7834" operator="greaterThan">
      <formula>70</formula>
    </cfRule>
  </conditionalFormatting>
  <conditionalFormatting sqref="H160">
    <cfRule type="cellIs" dxfId="2201" priority="7835" operator="lessThan">
      <formula>0</formula>
    </cfRule>
  </conditionalFormatting>
  <conditionalFormatting sqref="H160">
    <cfRule type="cellIs" dxfId="2200" priority="7836" operator="greaterThan">
      <formula>70</formula>
    </cfRule>
  </conditionalFormatting>
  <conditionalFormatting sqref="I160">
    <cfRule type="cellIs" dxfId="2199" priority="7837" operator="lessThan">
      <formula>0</formula>
    </cfRule>
  </conditionalFormatting>
  <conditionalFormatting sqref="I160">
    <cfRule type="cellIs" dxfId="2198" priority="7838" operator="greaterThan">
      <formula>70</formula>
    </cfRule>
  </conditionalFormatting>
  <conditionalFormatting sqref="J160">
    <cfRule type="cellIs" dxfId="2197" priority="7839" operator="lessThan">
      <formula>0</formula>
    </cfRule>
  </conditionalFormatting>
  <conditionalFormatting sqref="J160">
    <cfRule type="cellIs" dxfId="2196" priority="7840" operator="greaterThan">
      <formula>70</formula>
    </cfRule>
  </conditionalFormatting>
  <conditionalFormatting sqref="K160">
    <cfRule type="cellIs" dxfId="2195" priority="7841" operator="lessThan">
      <formula>0</formula>
    </cfRule>
  </conditionalFormatting>
  <conditionalFormatting sqref="K160">
    <cfRule type="cellIs" dxfId="2194" priority="7842" operator="greaterThan">
      <formula>70</formula>
    </cfRule>
  </conditionalFormatting>
  <conditionalFormatting sqref="S160">
    <cfRule type="cellIs" dxfId="2193" priority="7843" operator="lessThan">
      <formula>0</formula>
    </cfRule>
  </conditionalFormatting>
  <conditionalFormatting sqref="S160">
    <cfRule type="cellIs" dxfId="2192" priority="7844" operator="greaterThan">
      <formula>70</formula>
    </cfRule>
  </conditionalFormatting>
  <conditionalFormatting sqref="T160">
    <cfRule type="cellIs" dxfId="2191" priority="7845" operator="lessThan">
      <formula>0</formula>
    </cfRule>
  </conditionalFormatting>
  <conditionalFormatting sqref="T160">
    <cfRule type="cellIs" dxfId="2190" priority="7846" operator="greaterThan">
      <formula>30</formula>
    </cfRule>
  </conditionalFormatting>
  <conditionalFormatting sqref="C161">
    <cfRule type="cellIs" dxfId="2189" priority="7847" operator="lessThan">
      <formula>0</formula>
    </cfRule>
  </conditionalFormatting>
  <conditionalFormatting sqref="C161">
    <cfRule type="cellIs" dxfId="2188" priority="7848" operator="greaterThan">
      <formula>100</formula>
    </cfRule>
  </conditionalFormatting>
  <conditionalFormatting sqref="F161">
    <cfRule type="cellIs" dxfId="2187" priority="7849" operator="lessThan">
      <formula>0</formula>
    </cfRule>
  </conditionalFormatting>
  <conditionalFormatting sqref="F161">
    <cfRule type="cellIs" dxfId="2186" priority="7850" operator="greaterThan">
      <formula>70</formula>
    </cfRule>
  </conditionalFormatting>
  <conditionalFormatting sqref="G161">
    <cfRule type="cellIs" dxfId="2185" priority="7851" operator="lessThan">
      <formula>0</formula>
    </cfRule>
  </conditionalFormatting>
  <conditionalFormatting sqref="G161">
    <cfRule type="cellIs" dxfId="2184" priority="7852" operator="greaterThan">
      <formula>70</formula>
    </cfRule>
  </conditionalFormatting>
  <conditionalFormatting sqref="H161">
    <cfRule type="cellIs" dxfId="2183" priority="7853" operator="lessThan">
      <formula>0</formula>
    </cfRule>
  </conditionalFormatting>
  <conditionalFormatting sqref="H161">
    <cfRule type="cellIs" dxfId="2182" priority="7854" operator="greaterThan">
      <formula>70</formula>
    </cfRule>
  </conditionalFormatting>
  <conditionalFormatting sqref="I161">
    <cfRule type="cellIs" dxfId="2181" priority="7855" operator="lessThan">
      <formula>0</formula>
    </cfRule>
  </conditionalFormatting>
  <conditionalFormatting sqref="I161">
    <cfRule type="cellIs" dxfId="2180" priority="7856" operator="greaterThan">
      <formula>70</formula>
    </cfRule>
  </conditionalFormatting>
  <conditionalFormatting sqref="J161">
    <cfRule type="cellIs" dxfId="2179" priority="7857" operator="lessThan">
      <formula>0</formula>
    </cfRule>
  </conditionalFormatting>
  <conditionalFormatting sqref="J161">
    <cfRule type="cellIs" dxfId="2178" priority="7858" operator="greaterThan">
      <formula>70</formula>
    </cfRule>
  </conditionalFormatting>
  <conditionalFormatting sqref="K161">
    <cfRule type="cellIs" dxfId="2177" priority="7859" operator="lessThan">
      <formula>0</formula>
    </cfRule>
  </conditionalFormatting>
  <conditionalFormatting sqref="K161">
    <cfRule type="cellIs" dxfId="2176" priority="7860" operator="greaterThan">
      <formula>70</formula>
    </cfRule>
  </conditionalFormatting>
  <conditionalFormatting sqref="S161">
    <cfRule type="cellIs" dxfId="2175" priority="7861" operator="lessThan">
      <formula>0</formula>
    </cfRule>
  </conditionalFormatting>
  <conditionalFormatting sqref="S161">
    <cfRule type="cellIs" dxfId="2174" priority="7862" operator="greaterThan">
      <formula>70</formula>
    </cfRule>
  </conditionalFormatting>
  <conditionalFormatting sqref="T161">
    <cfRule type="cellIs" dxfId="2173" priority="7863" operator="lessThan">
      <formula>0</formula>
    </cfRule>
  </conditionalFormatting>
  <conditionalFormatting sqref="T161">
    <cfRule type="cellIs" dxfId="2172" priority="7864" operator="greaterThan">
      <formula>30</formula>
    </cfRule>
  </conditionalFormatting>
  <conditionalFormatting sqref="C162">
    <cfRule type="cellIs" dxfId="2171" priority="7865" operator="lessThan">
      <formula>0</formula>
    </cfRule>
  </conditionalFormatting>
  <conditionalFormatting sqref="C162">
    <cfRule type="cellIs" dxfId="2170" priority="7866" operator="greaterThan">
      <formula>100</formula>
    </cfRule>
  </conditionalFormatting>
  <conditionalFormatting sqref="F162">
    <cfRule type="cellIs" dxfId="2169" priority="7867" operator="lessThan">
      <formula>0</formula>
    </cfRule>
  </conditionalFormatting>
  <conditionalFormatting sqref="F162">
    <cfRule type="cellIs" dxfId="2168" priority="7868" operator="greaterThan">
      <formula>70</formula>
    </cfRule>
  </conditionalFormatting>
  <conditionalFormatting sqref="G162">
    <cfRule type="cellIs" dxfId="2167" priority="7869" operator="lessThan">
      <formula>0</formula>
    </cfRule>
  </conditionalFormatting>
  <conditionalFormatting sqref="G162">
    <cfRule type="cellIs" dxfId="2166" priority="7870" operator="greaterThan">
      <formula>70</formula>
    </cfRule>
  </conditionalFormatting>
  <conditionalFormatting sqref="H162">
    <cfRule type="cellIs" dxfId="2165" priority="7871" operator="lessThan">
      <formula>0</formula>
    </cfRule>
  </conditionalFormatting>
  <conditionalFormatting sqref="H162">
    <cfRule type="cellIs" dxfId="2164" priority="7872" operator="greaterThan">
      <formula>70</formula>
    </cfRule>
  </conditionalFormatting>
  <conditionalFormatting sqref="I162">
    <cfRule type="cellIs" dxfId="2163" priority="7873" operator="lessThan">
      <formula>0</formula>
    </cfRule>
  </conditionalFormatting>
  <conditionalFormatting sqref="I162">
    <cfRule type="cellIs" dxfId="2162" priority="7874" operator="greaterThan">
      <formula>70</formula>
    </cfRule>
  </conditionalFormatting>
  <conditionalFormatting sqref="J162">
    <cfRule type="cellIs" dxfId="2161" priority="7875" operator="lessThan">
      <formula>0</formula>
    </cfRule>
  </conditionalFormatting>
  <conditionalFormatting sqref="J162">
    <cfRule type="cellIs" dxfId="2160" priority="7876" operator="greaterThan">
      <formula>70</formula>
    </cfRule>
  </conditionalFormatting>
  <conditionalFormatting sqref="K162">
    <cfRule type="cellIs" dxfId="2159" priority="7877" operator="lessThan">
      <formula>0</formula>
    </cfRule>
  </conditionalFormatting>
  <conditionalFormatting sqref="K162">
    <cfRule type="cellIs" dxfId="2158" priority="7878" operator="greaterThan">
      <formula>70</formula>
    </cfRule>
  </conditionalFormatting>
  <conditionalFormatting sqref="S162">
    <cfRule type="cellIs" dxfId="2157" priority="7879" operator="lessThan">
      <formula>0</formula>
    </cfRule>
  </conditionalFormatting>
  <conditionalFormatting sqref="S162">
    <cfRule type="cellIs" dxfId="2156" priority="7880" operator="greaterThan">
      <formula>70</formula>
    </cfRule>
  </conditionalFormatting>
  <conditionalFormatting sqref="T162">
    <cfRule type="cellIs" dxfId="2155" priority="7881" operator="lessThan">
      <formula>0</formula>
    </cfRule>
  </conditionalFormatting>
  <conditionalFormatting sqref="T162">
    <cfRule type="cellIs" dxfId="2154" priority="7882" operator="greaterThan">
      <formula>30</formula>
    </cfRule>
  </conditionalFormatting>
  <conditionalFormatting sqref="C163">
    <cfRule type="cellIs" dxfId="2153" priority="7883" operator="lessThan">
      <formula>0</formula>
    </cfRule>
  </conditionalFormatting>
  <conditionalFormatting sqref="C163">
    <cfRule type="cellIs" dxfId="2152" priority="7884" operator="greaterThan">
      <formula>100</formula>
    </cfRule>
  </conditionalFormatting>
  <conditionalFormatting sqref="F163">
    <cfRule type="cellIs" dxfId="2151" priority="7885" operator="lessThan">
      <formula>0</formula>
    </cfRule>
  </conditionalFormatting>
  <conditionalFormatting sqref="F163">
    <cfRule type="cellIs" dxfId="2150" priority="7886" operator="greaterThan">
      <formula>70</formula>
    </cfRule>
  </conditionalFormatting>
  <conditionalFormatting sqref="G163">
    <cfRule type="cellIs" dxfId="2149" priority="7887" operator="lessThan">
      <formula>0</formula>
    </cfRule>
  </conditionalFormatting>
  <conditionalFormatting sqref="G163">
    <cfRule type="cellIs" dxfId="2148" priority="7888" operator="greaterThan">
      <formula>70</formula>
    </cfRule>
  </conditionalFormatting>
  <conditionalFormatting sqref="H163">
    <cfRule type="cellIs" dxfId="2147" priority="7889" operator="lessThan">
      <formula>0</formula>
    </cfRule>
  </conditionalFormatting>
  <conditionalFormatting sqref="H163">
    <cfRule type="cellIs" dxfId="2146" priority="7890" operator="greaterThan">
      <formula>70</formula>
    </cfRule>
  </conditionalFormatting>
  <conditionalFormatting sqref="I163">
    <cfRule type="cellIs" dxfId="2145" priority="7891" operator="lessThan">
      <formula>0</formula>
    </cfRule>
  </conditionalFormatting>
  <conditionalFormatting sqref="I163">
    <cfRule type="cellIs" dxfId="2144" priority="7892" operator="greaterThan">
      <formula>70</formula>
    </cfRule>
  </conditionalFormatting>
  <conditionalFormatting sqref="J163">
    <cfRule type="cellIs" dxfId="2143" priority="7893" operator="lessThan">
      <formula>0</formula>
    </cfRule>
  </conditionalFormatting>
  <conditionalFormatting sqref="J163">
    <cfRule type="cellIs" dxfId="2142" priority="7894" operator="greaterThan">
      <formula>70</formula>
    </cfRule>
  </conditionalFormatting>
  <conditionalFormatting sqref="K163">
    <cfRule type="cellIs" dxfId="2141" priority="7895" operator="lessThan">
      <formula>0</formula>
    </cfRule>
  </conditionalFormatting>
  <conditionalFormatting sqref="K163">
    <cfRule type="cellIs" dxfId="2140" priority="7896" operator="greaterThan">
      <formula>70</formula>
    </cfRule>
  </conditionalFormatting>
  <conditionalFormatting sqref="S163">
    <cfRule type="cellIs" dxfId="2139" priority="7897" operator="lessThan">
      <formula>0</formula>
    </cfRule>
  </conditionalFormatting>
  <conditionalFormatting sqref="S163">
    <cfRule type="cellIs" dxfId="2138" priority="7898" operator="greaterThan">
      <formula>70</formula>
    </cfRule>
  </conditionalFormatting>
  <conditionalFormatting sqref="T163">
    <cfRule type="cellIs" dxfId="2137" priority="7899" operator="lessThan">
      <formula>0</formula>
    </cfRule>
  </conditionalFormatting>
  <conditionalFormatting sqref="T163">
    <cfRule type="cellIs" dxfId="2136" priority="7900" operator="greaterThan">
      <formula>30</formula>
    </cfRule>
  </conditionalFormatting>
  <conditionalFormatting sqref="C164">
    <cfRule type="cellIs" dxfId="2135" priority="7901" operator="lessThan">
      <formula>0</formula>
    </cfRule>
  </conditionalFormatting>
  <conditionalFormatting sqref="C164">
    <cfRule type="cellIs" dxfId="2134" priority="7902" operator="greaterThan">
      <formula>100</formula>
    </cfRule>
  </conditionalFormatting>
  <conditionalFormatting sqref="F164">
    <cfRule type="cellIs" dxfId="2133" priority="7903" operator="lessThan">
      <formula>0</formula>
    </cfRule>
  </conditionalFormatting>
  <conditionalFormatting sqref="F164">
    <cfRule type="cellIs" dxfId="2132" priority="7904" operator="greaterThan">
      <formula>70</formula>
    </cfRule>
  </conditionalFormatting>
  <conditionalFormatting sqref="G164">
    <cfRule type="cellIs" dxfId="2131" priority="7905" operator="lessThan">
      <formula>0</formula>
    </cfRule>
  </conditionalFormatting>
  <conditionalFormatting sqref="G164">
    <cfRule type="cellIs" dxfId="2130" priority="7906" operator="greaterThan">
      <formula>70</formula>
    </cfRule>
  </conditionalFormatting>
  <conditionalFormatting sqref="H164">
    <cfRule type="cellIs" dxfId="2129" priority="7907" operator="lessThan">
      <formula>0</formula>
    </cfRule>
  </conditionalFormatting>
  <conditionalFormatting sqref="H164">
    <cfRule type="cellIs" dxfId="2128" priority="7908" operator="greaterThan">
      <formula>70</formula>
    </cfRule>
  </conditionalFormatting>
  <conditionalFormatting sqref="I164">
    <cfRule type="cellIs" dxfId="2127" priority="7909" operator="lessThan">
      <formula>0</formula>
    </cfRule>
  </conditionalFormatting>
  <conditionalFormatting sqref="I164">
    <cfRule type="cellIs" dxfId="2126" priority="7910" operator="greaterThan">
      <formula>70</formula>
    </cfRule>
  </conditionalFormatting>
  <conditionalFormatting sqref="J164">
    <cfRule type="cellIs" dxfId="2125" priority="7911" operator="lessThan">
      <formula>0</formula>
    </cfRule>
  </conditionalFormatting>
  <conditionalFormatting sqref="J164">
    <cfRule type="cellIs" dxfId="2124" priority="7912" operator="greaterThan">
      <formula>70</formula>
    </cfRule>
  </conditionalFormatting>
  <conditionalFormatting sqref="K164">
    <cfRule type="cellIs" dxfId="2123" priority="7913" operator="lessThan">
      <formula>0</formula>
    </cfRule>
  </conditionalFormatting>
  <conditionalFormatting sqref="K164">
    <cfRule type="cellIs" dxfId="2122" priority="7914" operator="greaterThan">
      <formula>70</formula>
    </cfRule>
  </conditionalFormatting>
  <conditionalFormatting sqref="S164">
    <cfRule type="cellIs" dxfId="2121" priority="7915" operator="lessThan">
      <formula>0</formula>
    </cfRule>
  </conditionalFormatting>
  <conditionalFormatting sqref="S164">
    <cfRule type="cellIs" dxfId="2120" priority="7916" operator="greaterThan">
      <formula>70</formula>
    </cfRule>
  </conditionalFormatting>
  <conditionalFormatting sqref="T164">
    <cfRule type="cellIs" dxfId="2119" priority="7917" operator="lessThan">
      <formula>0</formula>
    </cfRule>
  </conditionalFormatting>
  <conditionalFormatting sqref="T164">
    <cfRule type="cellIs" dxfId="2118" priority="7918" operator="greaterThan">
      <formula>30</formula>
    </cfRule>
  </conditionalFormatting>
  <conditionalFormatting sqref="C165">
    <cfRule type="cellIs" dxfId="2117" priority="7919" operator="lessThan">
      <formula>0</formula>
    </cfRule>
  </conditionalFormatting>
  <conditionalFormatting sqref="C165">
    <cfRule type="cellIs" dxfId="2116" priority="7920" operator="greaterThan">
      <formula>100</formula>
    </cfRule>
  </conditionalFormatting>
  <conditionalFormatting sqref="F165">
    <cfRule type="cellIs" dxfId="2115" priority="7921" operator="lessThan">
      <formula>0</formula>
    </cfRule>
  </conditionalFormatting>
  <conditionalFormatting sqref="F165">
    <cfRule type="cellIs" dxfId="2114" priority="7922" operator="greaterThan">
      <formula>70</formula>
    </cfRule>
  </conditionalFormatting>
  <conditionalFormatting sqref="G165">
    <cfRule type="cellIs" dxfId="2113" priority="7923" operator="lessThan">
      <formula>0</formula>
    </cfRule>
  </conditionalFormatting>
  <conditionalFormatting sqref="G165">
    <cfRule type="cellIs" dxfId="2112" priority="7924" operator="greaterThan">
      <formula>70</formula>
    </cfRule>
  </conditionalFormatting>
  <conditionalFormatting sqref="H165">
    <cfRule type="cellIs" dxfId="2111" priority="7925" operator="lessThan">
      <formula>0</formula>
    </cfRule>
  </conditionalFormatting>
  <conditionalFormatting sqref="H165">
    <cfRule type="cellIs" dxfId="2110" priority="7926" operator="greaterThan">
      <formula>70</formula>
    </cfRule>
  </conditionalFormatting>
  <conditionalFormatting sqref="I165">
    <cfRule type="cellIs" dxfId="2109" priority="7927" operator="lessThan">
      <formula>0</formula>
    </cfRule>
  </conditionalFormatting>
  <conditionalFormatting sqref="I165">
    <cfRule type="cellIs" dxfId="2108" priority="7928" operator="greaterThan">
      <formula>70</formula>
    </cfRule>
  </conditionalFormatting>
  <conditionalFormatting sqref="J165">
    <cfRule type="cellIs" dxfId="2107" priority="7929" operator="lessThan">
      <formula>0</formula>
    </cfRule>
  </conditionalFormatting>
  <conditionalFormatting sqref="J165">
    <cfRule type="cellIs" dxfId="2106" priority="7930" operator="greaterThan">
      <formula>70</formula>
    </cfRule>
  </conditionalFormatting>
  <conditionalFormatting sqref="K165">
    <cfRule type="cellIs" dxfId="2105" priority="7931" operator="lessThan">
      <formula>0</formula>
    </cfRule>
  </conditionalFormatting>
  <conditionalFormatting sqref="K165">
    <cfRule type="cellIs" dxfId="2104" priority="7932" operator="greaterThan">
      <formula>70</formula>
    </cfRule>
  </conditionalFormatting>
  <conditionalFormatting sqref="S165">
    <cfRule type="cellIs" dxfId="2103" priority="7933" operator="lessThan">
      <formula>0</formula>
    </cfRule>
  </conditionalFormatting>
  <conditionalFormatting sqref="S165">
    <cfRule type="cellIs" dxfId="2102" priority="7934" operator="greaterThan">
      <formula>70</formula>
    </cfRule>
  </conditionalFormatting>
  <conditionalFormatting sqref="T165">
    <cfRule type="cellIs" dxfId="2101" priority="7935" operator="lessThan">
      <formula>0</formula>
    </cfRule>
  </conditionalFormatting>
  <conditionalFormatting sqref="T165">
    <cfRule type="cellIs" dxfId="2100" priority="7936" operator="greaterThan">
      <formula>30</formula>
    </cfRule>
  </conditionalFormatting>
  <conditionalFormatting sqref="C166">
    <cfRule type="cellIs" dxfId="2099" priority="7937" operator="lessThan">
      <formula>0</formula>
    </cfRule>
  </conditionalFormatting>
  <conditionalFormatting sqref="C166">
    <cfRule type="cellIs" dxfId="2098" priority="7938" operator="greaterThan">
      <formula>100</formula>
    </cfRule>
  </conditionalFormatting>
  <conditionalFormatting sqref="F166">
    <cfRule type="cellIs" dxfId="2097" priority="7939" operator="lessThan">
      <formula>0</formula>
    </cfRule>
  </conditionalFormatting>
  <conditionalFormatting sqref="F166">
    <cfRule type="cellIs" dxfId="2096" priority="7940" operator="greaterThan">
      <formula>70</formula>
    </cfRule>
  </conditionalFormatting>
  <conditionalFormatting sqref="G166">
    <cfRule type="cellIs" dxfId="2095" priority="7941" operator="lessThan">
      <formula>0</formula>
    </cfRule>
  </conditionalFormatting>
  <conditionalFormatting sqref="G166">
    <cfRule type="cellIs" dxfId="2094" priority="7942" operator="greaterThan">
      <formula>70</formula>
    </cfRule>
  </conditionalFormatting>
  <conditionalFormatting sqref="H166">
    <cfRule type="cellIs" dxfId="2093" priority="7943" operator="lessThan">
      <formula>0</formula>
    </cfRule>
  </conditionalFormatting>
  <conditionalFormatting sqref="H166">
    <cfRule type="cellIs" dxfId="2092" priority="7944" operator="greaterThan">
      <formula>70</formula>
    </cfRule>
  </conditionalFormatting>
  <conditionalFormatting sqref="I166">
    <cfRule type="cellIs" dxfId="2091" priority="7945" operator="lessThan">
      <formula>0</formula>
    </cfRule>
  </conditionalFormatting>
  <conditionalFormatting sqref="I166">
    <cfRule type="cellIs" dxfId="2090" priority="7946" operator="greaterThan">
      <formula>70</formula>
    </cfRule>
  </conditionalFormatting>
  <conditionalFormatting sqref="J166">
    <cfRule type="cellIs" dxfId="2089" priority="7947" operator="lessThan">
      <formula>0</formula>
    </cfRule>
  </conditionalFormatting>
  <conditionalFormatting sqref="J166">
    <cfRule type="cellIs" dxfId="2088" priority="7948" operator="greaterThan">
      <formula>70</formula>
    </cfRule>
  </conditionalFormatting>
  <conditionalFormatting sqref="K166">
    <cfRule type="cellIs" dxfId="2087" priority="7949" operator="lessThan">
      <formula>0</formula>
    </cfRule>
  </conditionalFormatting>
  <conditionalFormatting sqref="K166">
    <cfRule type="cellIs" dxfId="2086" priority="7950" operator="greaterThan">
      <formula>70</formula>
    </cfRule>
  </conditionalFormatting>
  <conditionalFormatting sqref="S166">
    <cfRule type="cellIs" dxfId="2085" priority="7951" operator="lessThan">
      <formula>0</formula>
    </cfRule>
  </conditionalFormatting>
  <conditionalFormatting sqref="S166">
    <cfRule type="cellIs" dxfId="2084" priority="7952" operator="greaterThan">
      <formula>70</formula>
    </cfRule>
  </conditionalFormatting>
  <conditionalFormatting sqref="T166">
    <cfRule type="cellIs" dxfId="2083" priority="7953" operator="lessThan">
      <formula>0</formula>
    </cfRule>
  </conditionalFormatting>
  <conditionalFormatting sqref="T166">
    <cfRule type="cellIs" dxfId="2082" priority="7954" operator="greaterThan">
      <formula>30</formula>
    </cfRule>
  </conditionalFormatting>
  <conditionalFormatting sqref="C167">
    <cfRule type="cellIs" dxfId="2081" priority="7955" operator="lessThan">
      <formula>0</formula>
    </cfRule>
  </conditionalFormatting>
  <conditionalFormatting sqref="C167">
    <cfRule type="cellIs" dxfId="2080" priority="7956" operator="greaterThan">
      <formula>100</formula>
    </cfRule>
  </conditionalFormatting>
  <conditionalFormatting sqref="F167">
    <cfRule type="cellIs" dxfId="2079" priority="7957" operator="lessThan">
      <formula>0</formula>
    </cfRule>
  </conditionalFormatting>
  <conditionalFormatting sqref="F167">
    <cfRule type="cellIs" dxfId="2078" priority="7958" operator="greaterThan">
      <formula>70</formula>
    </cfRule>
  </conditionalFormatting>
  <conditionalFormatting sqref="G167">
    <cfRule type="cellIs" dxfId="2077" priority="7959" operator="lessThan">
      <formula>0</formula>
    </cfRule>
  </conditionalFormatting>
  <conditionalFormatting sqref="G167">
    <cfRule type="cellIs" dxfId="2076" priority="7960" operator="greaterThan">
      <formula>70</formula>
    </cfRule>
  </conditionalFormatting>
  <conditionalFormatting sqref="H167">
    <cfRule type="cellIs" dxfId="2075" priority="7961" operator="lessThan">
      <formula>0</formula>
    </cfRule>
  </conditionalFormatting>
  <conditionalFormatting sqref="H167">
    <cfRule type="cellIs" dxfId="2074" priority="7962" operator="greaterThan">
      <formula>70</formula>
    </cfRule>
  </conditionalFormatting>
  <conditionalFormatting sqref="I167">
    <cfRule type="cellIs" dxfId="2073" priority="7963" operator="lessThan">
      <formula>0</formula>
    </cfRule>
  </conditionalFormatting>
  <conditionalFormatting sqref="I167">
    <cfRule type="cellIs" dxfId="2072" priority="7964" operator="greaterThan">
      <formula>70</formula>
    </cfRule>
  </conditionalFormatting>
  <conditionalFormatting sqref="J167">
    <cfRule type="cellIs" dxfId="2071" priority="7965" operator="lessThan">
      <formula>0</formula>
    </cfRule>
  </conditionalFormatting>
  <conditionalFormatting sqref="J167">
    <cfRule type="cellIs" dxfId="2070" priority="7966" operator="greaterThan">
      <formula>70</formula>
    </cfRule>
  </conditionalFormatting>
  <conditionalFormatting sqref="K167">
    <cfRule type="cellIs" dxfId="2069" priority="7967" operator="lessThan">
      <formula>0</formula>
    </cfRule>
  </conditionalFormatting>
  <conditionalFormatting sqref="K167">
    <cfRule type="cellIs" dxfId="2068" priority="7968" operator="greaterThan">
      <formula>70</formula>
    </cfRule>
  </conditionalFormatting>
  <conditionalFormatting sqref="S167">
    <cfRule type="cellIs" dxfId="2067" priority="7969" operator="lessThan">
      <formula>0</formula>
    </cfRule>
  </conditionalFormatting>
  <conditionalFormatting sqref="S167">
    <cfRule type="cellIs" dxfId="2066" priority="7970" operator="greaterThan">
      <formula>70</formula>
    </cfRule>
  </conditionalFormatting>
  <conditionalFormatting sqref="T167">
    <cfRule type="cellIs" dxfId="2065" priority="7971" operator="lessThan">
      <formula>0</formula>
    </cfRule>
  </conditionalFormatting>
  <conditionalFormatting sqref="T167">
    <cfRule type="cellIs" dxfId="2064" priority="7972" operator="greaterThan">
      <formula>30</formula>
    </cfRule>
  </conditionalFormatting>
  <conditionalFormatting sqref="C168">
    <cfRule type="cellIs" dxfId="2063" priority="7973" operator="lessThan">
      <formula>0</formula>
    </cfRule>
  </conditionalFormatting>
  <conditionalFormatting sqref="C168">
    <cfRule type="cellIs" dxfId="2062" priority="7974" operator="greaterThan">
      <formula>100</formula>
    </cfRule>
  </conditionalFormatting>
  <conditionalFormatting sqref="F168">
    <cfRule type="cellIs" dxfId="2061" priority="7975" operator="lessThan">
      <formula>0</formula>
    </cfRule>
  </conditionalFormatting>
  <conditionalFormatting sqref="F168">
    <cfRule type="cellIs" dxfId="2060" priority="7976" operator="greaterThan">
      <formula>70</formula>
    </cfRule>
  </conditionalFormatting>
  <conditionalFormatting sqref="G168">
    <cfRule type="cellIs" dxfId="2059" priority="7977" operator="lessThan">
      <formula>0</formula>
    </cfRule>
  </conditionalFormatting>
  <conditionalFormatting sqref="G168">
    <cfRule type="cellIs" dxfId="2058" priority="7978" operator="greaterThan">
      <formula>70</formula>
    </cfRule>
  </conditionalFormatting>
  <conditionalFormatting sqref="H168">
    <cfRule type="cellIs" dxfId="2057" priority="7979" operator="lessThan">
      <formula>0</formula>
    </cfRule>
  </conditionalFormatting>
  <conditionalFormatting sqref="H168">
    <cfRule type="cellIs" dxfId="2056" priority="7980" operator="greaterThan">
      <formula>70</formula>
    </cfRule>
  </conditionalFormatting>
  <conditionalFormatting sqref="I168">
    <cfRule type="cellIs" dxfId="2055" priority="7981" operator="lessThan">
      <formula>0</formula>
    </cfRule>
  </conditionalFormatting>
  <conditionalFormatting sqref="I168">
    <cfRule type="cellIs" dxfId="2054" priority="7982" operator="greaterThan">
      <formula>70</formula>
    </cfRule>
  </conditionalFormatting>
  <conditionalFormatting sqref="J168">
    <cfRule type="cellIs" dxfId="2053" priority="7983" operator="lessThan">
      <formula>0</formula>
    </cfRule>
  </conditionalFormatting>
  <conditionalFormatting sqref="J168">
    <cfRule type="cellIs" dxfId="2052" priority="7984" operator="greaterThan">
      <formula>70</formula>
    </cfRule>
  </conditionalFormatting>
  <conditionalFormatting sqref="K168">
    <cfRule type="cellIs" dxfId="2051" priority="7985" operator="lessThan">
      <formula>0</formula>
    </cfRule>
  </conditionalFormatting>
  <conditionalFormatting sqref="K168">
    <cfRule type="cellIs" dxfId="2050" priority="7986" operator="greaterThan">
      <formula>70</formula>
    </cfRule>
  </conditionalFormatting>
  <conditionalFormatting sqref="S168">
    <cfRule type="cellIs" dxfId="2049" priority="7987" operator="lessThan">
      <formula>0</formula>
    </cfRule>
  </conditionalFormatting>
  <conditionalFormatting sqref="S168">
    <cfRule type="cellIs" dxfId="2048" priority="7988" operator="greaterThan">
      <formula>70</formula>
    </cfRule>
  </conditionalFormatting>
  <conditionalFormatting sqref="T168">
    <cfRule type="cellIs" dxfId="2047" priority="7989" operator="lessThan">
      <formula>0</formula>
    </cfRule>
  </conditionalFormatting>
  <conditionalFormatting sqref="T168">
    <cfRule type="cellIs" dxfId="2046" priority="7990" operator="greaterThan">
      <formula>30</formula>
    </cfRule>
  </conditionalFormatting>
  <conditionalFormatting sqref="C169">
    <cfRule type="cellIs" dxfId="2045" priority="7991" operator="lessThan">
      <formula>0</formula>
    </cfRule>
  </conditionalFormatting>
  <conditionalFormatting sqref="C169">
    <cfRule type="cellIs" dxfId="2044" priority="7992" operator="greaterThan">
      <formula>100</formula>
    </cfRule>
  </conditionalFormatting>
  <conditionalFormatting sqref="F169">
    <cfRule type="cellIs" dxfId="2043" priority="7993" operator="lessThan">
      <formula>0</formula>
    </cfRule>
  </conditionalFormatting>
  <conditionalFormatting sqref="F169">
    <cfRule type="cellIs" dxfId="2042" priority="7994" operator="greaterThan">
      <formula>70</formula>
    </cfRule>
  </conditionalFormatting>
  <conditionalFormatting sqref="G169">
    <cfRule type="cellIs" dxfId="2041" priority="7995" operator="lessThan">
      <formula>0</formula>
    </cfRule>
  </conditionalFormatting>
  <conditionalFormatting sqref="G169">
    <cfRule type="cellIs" dxfId="2040" priority="7996" operator="greaterThan">
      <formula>70</formula>
    </cfRule>
  </conditionalFormatting>
  <conditionalFormatting sqref="H169">
    <cfRule type="cellIs" dxfId="2039" priority="7997" operator="lessThan">
      <formula>0</formula>
    </cfRule>
  </conditionalFormatting>
  <conditionalFormatting sqref="H169">
    <cfRule type="cellIs" dxfId="2038" priority="7998" operator="greaterThan">
      <formula>70</formula>
    </cfRule>
  </conditionalFormatting>
  <conditionalFormatting sqref="I169">
    <cfRule type="cellIs" dxfId="2037" priority="7999" operator="lessThan">
      <formula>0</formula>
    </cfRule>
  </conditionalFormatting>
  <conditionalFormatting sqref="I169">
    <cfRule type="cellIs" dxfId="2036" priority="8000" operator="greaterThan">
      <formula>70</formula>
    </cfRule>
  </conditionalFormatting>
  <conditionalFormatting sqref="J169">
    <cfRule type="cellIs" dxfId="2035" priority="8001" operator="lessThan">
      <formula>0</formula>
    </cfRule>
  </conditionalFormatting>
  <conditionalFormatting sqref="J169">
    <cfRule type="cellIs" dxfId="2034" priority="8002" operator="greaterThan">
      <formula>70</formula>
    </cfRule>
  </conditionalFormatting>
  <conditionalFormatting sqref="K169">
    <cfRule type="cellIs" dxfId="2033" priority="8003" operator="lessThan">
      <formula>0</formula>
    </cfRule>
  </conditionalFormatting>
  <conditionalFormatting sqref="K169">
    <cfRule type="cellIs" dxfId="2032" priority="8004" operator="greaterThan">
      <formula>70</formula>
    </cfRule>
  </conditionalFormatting>
  <conditionalFormatting sqref="S169">
    <cfRule type="cellIs" dxfId="2031" priority="8005" operator="lessThan">
      <formula>0</formula>
    </cfRule>
  </conditionalFormatting>
  <conditionalFormatting sqref="S169">
    <cfRule type="cellIs" dxfId="2030" priority="8006" operator="greaterThan">
      <formula>70</formula>
    </cfRule>
  </conditionalFormatting>
  <conditionalFormatting sqref="T169">
    <cfRule type="cellIs" dxfId="2029" priority="8007" operator="lessThan">
      <formula>0</formula>
    </cfRule>
  </conditionalFormatting>
  <conditionalFormatting sqref="T169">
    <cfRule type="cellIs" dxfId="2028" priority="8008" operator="greaterThan">
      <formula>30</formula>
    </cfRule>
  </conditionalFormatting>
  <conditionalFormatting sqref="C170">
    <cfRule type="cellIs" dxfId="2027" priority="8009" operator="lessThan">
      <formula>0</formula>
    </cfRule>
  </conditionalFormatting>
  <conditionalFormatting sqref="C170">
    <cfRule type="cellIs" dxfId="2026" priority="8010" operator="greaterThan">
      <formula>100</formula>
    </cfRule>
  </conditionalFormatting>
  <conditionalFormatting sqref="F170">
    <cfRule type="cellIs" dxfId="2025" priority="8011" operator="lessThan">
      <formula>0</formula>
    </cfRule>
  </conditionalFormatting>
  <conditionalFormatting sqref="F170">
    <cfRule type="cellIs" dxfId="2024" priority="8012" operator="greaterThan">
      <formula>70</formula>
    </cfRule>
  </conditionalFormatting>
  <conditionalFormatting sqref="G170">
    <cfRule type="cellIs" dxfId="2023" priority="8013" operator="lessThan">
      <formula>0</formula>
    </cfRule>
  </conditionalFormatting>
  <conditionalFormatting sqref="G170">
    <cfRule type="cellIs" dxfId="2022" priority="8014" operator="greaterThan">
      <formula>70</formula>
    </cfRule>
  </conditionalFormatting>
  <conditionalFormatting sqref="H170">
    <cfRule type="cellIs" dxfId="2021" priority="8015" operator="lessThan">
      <formula>0</formula>
    </cfRule>
  </conditionalFormatting>
  <conditionalFormatting sqref="H170">
    <cfRule type="cellIs" dxfId="2020" priority="8016" operator="greaterThan">
      <formula>70</formula>
    </cfRule>
  </conditionalFormatting>
  <conditionalFormatting sqref="I170">
    <cfRule type="cellIs" dxfId="2019" priority="8017" operator="lessThan">
      <formula>0</formula>
    </cfRule>
  </conditionalFormatting>
  <conditionalFormatting sqref="I170">
    <cfRule type="cellIs" dxfId="2018" priority="8018" operator="greaterThan">
      <formula>70</formula>
    </cfRule>
  </conditionalFormatting>
  <conditionalFormatting sqref="J170">
    <cfRule type="cellIs" dxfId="2017" priority="8019" operator="lessThan">
      <formula>0</formula>
    </cfRule>
  </conditionalFormatting>
  <conditionalFormatting sqref="J170">
    <cfRule type="cellIs" dxfId="2016" priority="8020" operator="greaterThan">
      <formula>70</formula>
    </cfRule>
  </conditionalFormatting>
  <conditionalFormatting sqref="K170">
    <cfRule type="cellIs" dxfId="2015" priority="8021" operator="lessThan">
      <formula>0</formula>
    </cfRule>
  </conditionalFormatting>
  <conditionalFormatting sqref="K170">
    <cfRule type="cellIs" dxfId="2014" priority="8022" operator="greaterThan">
      <formula>70</formula>
    </cfRule>
  </conditionalFormatting>
  <conditionalFormatting sqref="S170">
    <cfRule type="cellIs" dxfId="2013" priority="8023" operator="lessThan">
      <formula>0</formula>
    </cfRule>
  </conditionalFormatting>
  <conditionalFormatting sqref="S170">
    <cfRule type="cellIs" dxfId="2012" priority="8024" operator="greaterThan">
      <formula>70</formula>
    </cfRule>
  </conditionalFormatting>
  <conditionalFormatting sqref="T170">
    <cfRule type="cellIs" dxfId="2011" priority="8025" operator="lessThan">
      <formula>0</formula>
    </cfRule>
  </conditionalFormatting>
  <conditionalFormatting sqref="T170">
    <cfRule type="cellIs" dxfId="2010" priority="8026" operator="greaterThan">
      <formula>30</formula>
    </cfRule>
  </conditionalFormatting>
  <conditionalFormatting sqref="C171">
    <cfRule type="cellIs" dxfId="2009" priority="8027" operator="lessThan">
      <formula>0</formula>
    </cfRule>
  </conditionalFormatting>
  <conditionalFormatting sqref="C171">
    <cfRule type="cellIs" dxfId="2008" priority="8028" operator="greaterThan">
      <formula>100</formula>
    </cfRule>
  </conditionalFormatting>
  <conditionalFormatting sqref="F171">
    <cfRule type="cellIs" dxfId="2007" priority="8029" operator="lessThan">
      <formula>0</formula>
    </cfRule>
  </conditionalFormatting>
  <conditionalFormatting sqref="F171">
    <cfRule type="cellIs" dxfId="2006" priority="8030" operator="greaterThan">
      <formula>70</formula>
    </cfRule>
  </conditionalFormatting>
  <conditionalFormatting sqref="G171">
    <cfRule type="cellIs" dxfId="2005" priority="8031" operator="lessThan">
      <formula>0</formula>
    </cfRule>
  </conditionalFormatting>
  <conditionalFormatting sqref="G171">
    <cfRule type="cellIs" dxfId="2004" priority="8032" operator="greaterThan">
      <formula>70</formula>
    </cfRule>
  </conditionalFormatting>
  <conditionalFormatting sqref="H171">
    <cfRule type="cellIs" dxfId="2003" priority="8033" operator="lessThan">
      <formula>0</formula>
    </cfRule>
  </conditionalFormatting>
  <conditionalFormatting sqref="H171">
    <cfRule type="cellIs" dxfId="2002" priority="8034" operator="greaterThan">
      <formula>70</formula>
    </cfRule>
  </conditionalFormatting>
  <conditionalFormatting sqref="I171">
    <cfRule type="cellIs" dxfId="2001" priority="8035" operator="lessThan">
      <formula>0</formula>
    </cfRule>
  </conditionalFormatting>
  <conditionalFormatting sqref="I171">
    <cfRule type="cellIs" dxfId="2000" priority="8036" operator="greaterThan">
      <formula>70</formula>
    </cfRule>
  </conditionalFormatting>
  <conditionalFormatting sqref="J171">
    <cfRule type="cellIs" dxfId="1999" priority="8037" operator="lessThan">
      <formula>0</formula>
    </cfRule>
  </conditionalFormatting>
  <conditionalFormatting sqref="J171">
    <cfRule type="cellIs" dxfId="1998" priority="8038" operator="greaterThan">
      <formula>70</formula>
    </cfRule>
  </conditionalFormatting>
  <conditionalFormatting sqref="K171">
    <cfRule type="cellIs" dxfId="1997" priority="8039" operator="lessThan">
      <formula>0</formula>
    </cfRule>
  </conditionalFormatting>
  <conditionalFormatting sqref="K171">
    <cfRule type="cellIs" dxfId="1996" priority="8040" operator="greaterThan">
      <formula>70</formula>
    </cfRule>
  </conditionalFormatting>
  <conditionalFormatting sqref="S171">
    <cfRule type="cellIs" dxfId="1995" priority="8041" operator="lessThan">
      <formula>0</formula>
    </cfRule>
  </conditionalFormatting>
  <conditionalFormatting sqref="S171">
    <cfRule type="cellIs" dxfId="1994" priority="8042" operator="greaterThan">
      <formula>70</formula>
    </cfRule>
  </conditionalFormatting>
  <conditionalFormatting sqref="T171">
    <cfRule type="cellIs" dxfId="1993" priority="8043" operator="lessThan">
      <formula>0</formula>
    </cfRule>
  </conditionalFormatting>
  <conditionalFormatting sqref="T171">
    <cfRule type="cellIs" dxfId="1992" priority="8044" operator="greaterThan">
      <formula>30</formula>
    </cfRule>
  </conditionalFormatting>
  <conditionalFormatting sqref="C172">
    <cfRule type="cellIs" dxfId="1991" priority="8045" operator="lessThan">
      <formula>0</formula>
    </cfRule>
  </conditionalFormatting>
  <conditionalFormatting sqref="C172">
    <cfRule type="cellIs" dxfId="1990" priority="8046" operator="greaterThan">
      <formula>100</formula>
    </cfRule>
  </conditionalFormatting>
  <conditionalFormatting sqref="F172">
    <cfRule type="cellIs" dxfId="1989" priority="8047" operator="lessThan">
      <formula>0</formula>
    </cfRule>
  </conditionalFormatting>
  <conditionalFormatting sqref="F172">
    <cfRule type="cellIs" dxfId="1988" priority="8048" operator="greaterThan">
      <formula>70</formula>
    </cfRule>
  </conditionalFormatting>
  <conditionalFormatting sqref="G172">
    <cfRule type="cellIs" dxfId="1987" priority="8049" operator="lessThan">
      <formula>0</formula>
    </cfRule>
  </conditionalFormatting>
  <conditionalFormatting sqref="G172">
    <cfRule type="cellIs" dxfId="1986" priority="8050" operator="greaterThan">
      <formula>70</formula>
    </cfRule>
  </conditionalFormatting>
  <conditionalFormatting sqref="H172">
    <cfRule type="cellIs" dxfId="1985" priority="8051" operator="lessThan">
      <formula>0</formula>
    </cfRule>
  </conditionalFormatting>
  <conditionalFormatting sqref="H172">
    <cfRule type="cellIs" dxfId="1984" priority="8052" operator="greaterThan">
      <formula>70</formula>
    </cfRule>
  </conditionalFormatting>
  <conditionalFormatting sqref="I172">
    <cfRule type="cellIs" dxfId="1983" priority="8053" operator="lessThan">
      <formula>0</formula>
    </cfRule>
  </conditionalFormatting>
  <conditionalFormatting sqref="I172">
    <cfRule type="cellIs" dxfId="1982" priority="8054" operator="greaterThan">
      <formula>70</formula>
    </cfRule>
  </conditionalFormatting>
  <conditionalFormatting sqref="J172">
    <cfRule type="cellIs" dxfId="1981" priority="8055" operator="lessThan">
      <formula>0</formula>
    </cfRule>
  </conditionalFormatting>
  <conditionalFormatting sqref="J172">
    <cfRule type="cellIs" dxfId="1980" priority="8056" operator="greaterThan">
      <formula>70</formula>
    </cfRule>
  </conditionalFormatting>
  <conditionalFormatting sqref="K172">
    <cfRule type="cellIs" dxfId="1979" priority="8057" operator="lessThan">
      <formula>0</formula>
    </cfRule>
  </conditionalFormatting>
  <conditionalFormatting sqref="K172">
    <cfRule type="cellIs" dxfId="1978" priority="8058" operator="greaterThan">
      <formula>70</formula>
    </cfRule>
  </conditionalFormatting>
  <conditionalFormatting sqref="S172">
    <cfRule type="cellIs" dxfId="1977" priority="8059" operator="lessThan">
      <formula>0</formula>
    </cfRule>
  </conditionalFormatting>
  <conditionalFormatting sqref="S172">
    <cfRule type="cellIs" dxfId="1976" priority="8060" operator="greaterThan">
      <formula>70</formula>
    </cfRule>
  </conditionalFormatting>
  <conditionalFormatting sqref="T172">
    <cfRule type="cellIs" dxfId="1975" priority="8061" operator="lessThan">
      <formula>0</formula>
    </cfRule>
  </conditionalFormatting>
  <conditionalFormatting sqref="T172">
    <cfRule type="cellIs" dxfId="1974" priority="8062" operator="greaterThan">
      <formula>30</formula>
    </cfRule>
  </conditionalFormatting>
  <conditionalFormatting sqref="C173">
    <cfRule type="cellIs" dxfId="1973" priority="8063" operator="lessThan">
      <formula>0</formula>
    </cfRule>
  </conditionalFormatting>
  <conditionalFormatting sqref="C173">
    <cfRule type="cellIs" dxfId="1972" priority="8064" operator="greaterThan">
      <formula>100</formula>
    </cfRule>
  </conditionalFormatting>
  <conditionalFormatting sqref="F173">
    <cfRule type="cellIs" dxfId="1971" priority="8065" operator="lessThan">
      <formula>0</formula>
    </cfRule>
  </conditionalFormatting>
  <conditionalFormatting sqref="F173">
    <cfRule type="cellIs" dxfId="1970" priority="8066" operator="greaterThan">
      <formula>70</formula>
    </cfRule>
  </conditionalFormatting>
  <conditionalFormatting sqref="G173">
    <cfRule type="cellIs" dxfId="1969" priority="8067" operator="lessThan">
      <formula>0</formula>
    </cfRule>
  </conditionalFormatting>
  <conditionalFormatting sqref="G173">
    <cfRule type="cellIs" dxfId="1968" priority="8068" operator="greaterThan">
      <formula>70</formula>
    </cfRule>
  </conditionalFormatting>
  <conditionalFormatting sqref="H173">
    <cfRule type="cellIs" dxfId="1967" priority="8069" operator="lessThan">
      <formula>0</formula>
    </cfRule>
  </conditionalFormatting>
  <conditionalFormatting sqref="H173">
    <cfRule type="cellIs" dxfId="1966" priority="8070" operator="greaterThan">
      <formula>70</formula>
    </cfRule>
  </conditionalFormatting>
  <conditionalFormatting sqref="I173">
    <cfRule type="cellIs" dxfId="1965" priority="8071" operator="lessThan">
      <formula>0</formula>
    </cfRule>
  </conditionalFormatting>
  <conditionalFormatting sqref="I173">
    <cfRule type="cellIs" dxfId="1964" priority="8072" operator="greaterThan">
      <formula>70</formula>
    </cfRule>
  </conditionalFormatting>
  <conditionalFormatting sqref="J173">
    <cfRule type="cellIs" dxfId="1963" priority="8073" operator="lessThan">
      <formula>0</formula>
    </cfRule>
  </conditionalFormatting>
  <conditionalFormatting sqref="J173">
    <cfRule type="cellIs" dxfId="1962" priority="8074" operator="greaterThan">
      <formula>70</formula>
    </cfRule>
  </conditionalFormatting>
  <conditionalFormatting sqref="K173">
    <cfRule type="cellIs" dxfId="1961" priority="8075" operator="lessThan">
      <formula>0</formula>
    </cfRule>
  </conditionalFormatting>
  <conditionalFormatting sqref="K173">
    <cfRule type="cellIs" dxfId="1960" priority="8076" operator="greaterThan">
      <formula>70</formula>
    </cfRule>
  </conditionalFormatting>
  <conditionalFormatting sqref="S173">
    <cfRule type="cellIs" dxfId="1959" priority="8077" operator="lessThan">
      <formula>0</formula>
    </cfRule>
  </conditionalFormatting>
  <conditionalFormatting sqref="S173">
    <cfRule type="cellIs" dxfId="1958" priority="8078" operator="greaterThan">
      <formula>70</formula>
    </cfRule>
  </conditionalFormatting>
  <conditionalFormatting sqref="T173">
    <cfRule type="cellIs" dxfId="1957" priority="8079" operator="lessThan">
      <formula>0</formula>
    </cfRule>
  </conditionalFormatting>
  <conditionalFormatting sqref="T173">
    <cfRule type="cellIs" dxfId="1956" priority="8080" operator="greaterThan">
      <formula>30</formula>
    </cfRule>
  </conditionalFormatting>
  <conditionalFormatting sqref="C174">
    <cfRule type="cellIs" dxfId="1955" priority="8081" operator="lessThan">
      <formula>0</formula>
    </cfRule>
  </conditionalFormatting>
  <conditionalFormatting sqref="C174">
    <cfRule type="cellIs" dxfId="1954" priority="8082" operator="greaterThan">
      <formula>100</formula>
    </cfRule>
  </conditionalFormatting>
  <conditionalFormatting sqref="F174">
    <cfRule type="cellIs" dxfId="1953" priority="8083" operator="lessThan">
      <formula>0</formula>
    </cfRule>
  </conditionalFormatting>
  <conditionalFormatting sqref="F174">
    <cfRule type="cellIs" dxfId="1952" priority="8084" operator="greaterThan">
      <formula>70</formula>
    </cfRule>
  </conditionalFormatting>
  <conditionalFormatting sqref="G174">
    <cfRule type="cellIs" dxfId="1951" priority="8085" operator="lessThan">
      <formula>0</formula>
    </cfRule>
  </conditionalFormatting>
  <conditionalFormatting sqref="G174">
    <cfRule type="cellIs" dxfId="1950" priority="8086" operator="greaterThan">
      <formula>70</formula>
    </cfRule>
  </conditionalFormatting>
  <conditionalFormatting sqref="H174">
    <cfRule type="cellIs" dxfId="1949" priority="8087" operator="lessThan">
      <formula>0</formula>
    </cfRule>
  </conditionalFormatting>
  <conditionalFormatting sqref="H174">
    <cfRule type="cellIs" dxfId="1948" priority="8088" operator="greaterThan">
      <formula>70</formula>
    </cfRule>
  </conditionalFormatting>
  <conditionalFormatting sqref="I174">
    <cfRule type="cellIs" dxfId="1947" priority="8089" operator="lessThan">
      <formula>0</formula>
    </cfRule>
  </conditionalFormatting>
  <conditionalFormatting sqref="I174">
    <cfRule type="cellIs" dxfId="1946" priority="8090" operator="greaterThan">
      <formula>70</formula>
    </cfRule>
  </conditionalFormatting>
  <conditionalFormatting sqref="J174">
    <cfRule type="cellIs" dxfId="1945" priority="8091" operator="lessThan">
      <formula>0</formula>
    </cfRule>
  </conditionalFormatting>
  <conditionalFormatting sqref="J174">
    <cfRule type="cellIs" dxfId="1944" priority="8092" operator="greaterThan">
      <formula>70</formula>
    </cfRule>
  </conditionalFormatting>
  <conditionalFormatting sqref="K174">
    <cfRule type="cellIs" dxfId="1943" priority="8093" operator="lessThan">
      <formula>0</formula>
    </cfRule>
  </conditionalFormatting>
  <conditionalFormatting sqref="K174">
    <cfRule type="cellIs" dxfId="1942" priority="8094" operator="greaterThan">
      <formula>70</formula>
    </cfRule>
  </conditionalFormatting>
  <conditionalFormatting sqref="S174">
    <cfRule type="cellIs" dxfId="1941" priority="8095" operator="lessThan">
      <formula>0</formula>
    </cfRule>
  </conditionalFormatting>
  <conditionalFormatting sqref="S174">
    <cfRule type="cellIs" dxfId="1940" priority="8096" operator="greaterThan">
      <formula>70</formula>
    </cfRule>
  </conditionalFormatting>
  <conditionalFormatting sqref="T174">
    <cfRule type="cellIs" dxfId="1939" priority="8097" operator="lessThan">
      <formula>0</formula>
    </cfRule>
  </conditionalFormatting>
  <conditionalFormatting sqref="T174">
    <cfRule type="cellIs" dxfId="1938" priority="8098" operator="greaterThan">
      <formula>30</formula>
    </cfRule>
  </conditionalFormatting>
  <conditionalFormatting sqref="C175">
    <cfRule type="cellIs" dxfId="1937" priority="8099" operator="lessThan">
      <formula>0</formula>
    </cfRule>
  </conditionalFormatting>
  <conditionalFormatting sqref="C175">
    <cfRule type="cellIs" dxfId="1936" priority="8100" operator="greaterThan">
      <formula>100</formula>
    </cfRule>
  </conditionalFormatting>
  <conditionalFormatting sqref="F175">
    <cfRule type="cellIs" dxfId="1935" priority="8101" operator="lessThan">
      <formula>0</formula>
    </cfRule>
  </conditionalFormatting>
  <conditionalFormatting sqref="F175">
    <cfRule type="cellIs" dxfId="1934" priority="8102" operator="greaterThan">
      <formula>70</formula>
    </cfRule>
  </conditionalFormatting>
  <conditionalFormatting sqref="G175">
    <cfRule type="cellIs" dxfId="1933" priority="8103" operator="lessThan">
      <formula>0</formula>
    </cfRule>
  </conditionalFormatting>
  <conditionalFormatting sqref="G175">
    <cfRule type="cellIs" dxfId="1932" priority="8104" operator="greaterThan">
      <formula>70</formula>
    </cfRule>
  </conditionalFormatting>
  <conditionalFormatting sqref="H175">
    <cfRule type="cellIs" dxfId="1931" priority="8105" operator="lessThan">
      <formula>0</formula>
    </cfRule>
  </conditionalFormatting>
  <conditionalFormatting sqref="H175">
    <cfRule type="cellIs" dxfId="1930" priority="8106" operator="greaterThan">
      <formula>70</formula>
    </cfRule>
  </conditionalFormatting>
  <conditionalFormatting sqref="I175">
    <cfRule type="cellIs" dxfId="1929" priority="8107" operator="lessThan">
      <formula>0</formula>
    </cfRule>
  </conditionalFormatting>
  <conditionalFormatting sqref="I175">
    <cfRule type="cellIs" dxfId="1928" priority="8108" operator="greaterThan">
      <formula>70</formula>
    </cfRule>
  </conditionalFormatting>
  <conditionalFormatting sqref="J175">
    <cfRule type="cellIs" dxfId="1927" priority="8109" operator="lessThan">
      <formula>0</formula>
    </cfRule>
  </conditionalFormatting>
  <conditionalFormatting sqref="J175">
    <cfRule type="cellIs" dxfId="1926" priority="8110" operator="greaterThan">
      <formula>70</formula>
    </cfRule>
  </conditionalFormatting>
  <conditionalFormatting sqref="K175">
    <cfRule type="cellIs" dxfId="1925" priority="8111" operator="lessThan">
      <formula>0</formula>
    </cfRule>
  </conditionalFormatting>
  <conditionalFormatting sqref="K175">
    <cfRule type="cellIs" dxfId="1924" priority="8112" operator="greaterThan">
      <formula>70</formula>
    </cfRule>
  </conditionalFormatting>
  <conditionalFormatting sqref="S175">
    <cfRule type="cellIs" dxfId="1923" priority="8113" operator="lessThan">
      <formula>0</formula>
    </cfRule>
  </conditionalFormatting>
  <conditionalFormatting sqref="S175">
    <cfRule type="cellIs" dxfId="1922" priority="8114" operator="greaterThan">
      <formula>70</formula>
    </cfRule>
  </conditionalFormatting>
  <conditionalFormatting sqref="T175">
    <cfRule type="cellIs" dxfId="1921" priority="8115" operator="lessThan">
      <formula>0</formula>
    </cfRule>
  </conditionalFormatting>
  <conditionalFormatting sqref="T175">
    <cfRule type="cellIs" dxfId="1920" priority="8116" operator="greaterThan">
      <formula>30</formula>
    </cfRule>
  </conditionalFormatting>
  <conditionalFormatting sqref="C176">
    <cfRule type="cellIs" dxfId="1919" priority="8117" operator="lessThan">
      <formula>0</formula>
    </cfRule>
  </conditionalFormatting>
  <conditionalFormatting sqref="C176">
    <cfRule type="cellIs" dxfId="1918" priority="8118" operator="greaterThan">
      <formula>100</formula>
    </cfRule>
  </conditionalFormatting>
  <conditionalFormatting sqref="F176">
    <cfRule type="cellIs" dxfId="1917" priority="8119" operator="lessThan">
      <formula>0</formula>
    </cfRule>
  </conditionalFormatting>
  <conditionalFormatting sqref="F176">
    <cfRule type="cellIs" dxfId="1916" priority="8120" operator="greaterThan">
      <formula>70</formula>
    </cfRule>
  </conditionalFormatting>
  <conditionalFormatting sqref="G176">
    <cfRule type="cellIs" dxfId="1915" priority="8121" operator="lessThan">
      <formula>0</formula>
    </cfRule>
  </conditionalFormatting>
  <conditionalFormatting sqref="G176">
    <cfRule type="cellIs" dxfId="1914" priority="8122" operator="greaterThan">
      <formula>70</formula>
    </cfRule>
  </conditionalFormatting>
  <conditionalFormatting sqref="H176">
    <cfRule type="cellIs" dxfId="1913" priority="8123" operator="lessThan">
      <formula>0</formula>
    </cfRule>
  </conditionalFormatting>
  <conditionalFormatting sqref="H176">
    <cfRule type="cellIs" dxfId="1912" priority="8124" operator="greaterThan">
      <formula>70</formula>
    </cfRule>
  </conditionalFormatting>
  <conditionalFormatting sqref="I176">
    <cfRule type="cellIs" dxfId="1911" priority="8125" operator="lessThan">
      <formula>0</formula>
    </cfRule>
  </conditionalFormatting>
  <conditionalFormatting sqref="I176">
    <cfRule type="cellIs" dxfId="1910" priority="8126" operator="greaterThan">
      <formula>70</formula>
    </cfRule>
  </conditionalFormatting>
  <conditionalFormatting sqref="J176">
    <cfRule type="cellIs" dxfId="1909" priority="8127" operator="lessThan">
      <formula>0</formula>
    </cfRule>
  </conditionalFormatting>
  <conditionalFormatting sqref="J176">
    <cfRule type="cellIs" dxfId="1908" priority="8128" operator="greaterThan">
      <formula>70</formula>
    </cfRule>
  </conditionalFormatting>
  <conditionalFormatting sqref="K176">
    <cfRule type="cellIs" dxfId="1907" priority="8129" operator="lessThan">
      <formula>0</formula>
    </cfRule>
  </conditionalFormatting>
  <conditionalFormatting sqref="K176">
    <cfRule type="cellIs" dxfId="1906" priority="8130" operator="greaterThan">
      <formula>70</formula>
    </cfRule>
  </conditionalFormatting>
  <conditionalFormatting sqref="S176">
    <cfRule type="cellIs" dxfId="1905" priority="8131" operator="lessThan">
      <formula>0</formula>
    </cfRule>
  </conditionalFormatting>
  <conditionalFormatting sqref="S176">
    <cfRule type="cellIs" dxfId="1904" priority="8132" operator="greaterThan">
      <formula>70</formula>
    </cfRule>
  </conditionalFormatting>
  <conditionalFormatting sqref="T176">
    <cfRule type="cellIs" dxfId="1903" priority="8133" operator="lessThan">
      <formula>0</formula>
    </cfRule>
  </conditionalFormatting>
  <conditionalFormatting sqref="T176">
    <cfRule type="cellIs" dxfId="1902" priority="8134" operator="greaterThan">
      <formula>30</formula>
    </cfRule>
  </conditionalFormatting>
  <conditionalFormatting sqref="C177">
    <cfRule type="cellIs" dxfId="1901" priority="8135" operator="lessThan">
      <formula>0</formula>
    </cfRule>
  </conditionalFormatting>
  <conditionalFormatting sqref="C177">
    <cfRule type="cellIs" dxfId="1900" priority="8136" operator="greaterThan">
      <formula>100</formula>
    </cfRule>
  </conditionalFormatting>
  <conditionalFormatting sqref="F177">
    <cfRule type="cellIs" dxfId="1899" priority="8137" operator="lessThan">
      <formula>0</formula>
    </cfRule>
  </conditionalFormatting>
  <conditionalFormatting sqref="F177">
    <cfRule type="cellIs" dxfId="1898" priority="8138" operator="greaterThan">
      <formula>70</formula>
    </cfRule>
  </conditionalFormatting>
  <conditionalFormatting sqref="G177">
    <cfRule type="cellIs" dxfId="1897" priority="8139" operator="lessThan">
      <formula>0</formula>
    </cfRule>
  </conditionalFormatting>
  <conditionalFormatting sqref="G177">
    <cfRule type="cellIs" dxfId="1896" priority="8140" operator="greaterThan">
      <formula>70</formula>
    </cfRule>
  </conditionalFormatting>
  <conditionalFormatting sqref="H177">
    <cfRule type="cellIs" dxfId="1895" priority="8141" operator="lessThan">
      <formula>0</formula>
    </cfRule>
  </conditionalFormatting>
  <conditionalFormatting sqref="H177">
    <cfRule type="cellIs" dxfId="1894" priority="8142" operator="greaterThan">
      <formula>70</formula>
    </cfRule>
  </conditionalFormatting>
  <conditionalFormatting sqref="I177">
    <cfRule type="cellIs" dxfId="1893" priority="8143" operator="lessThan">
      <formula>0</formula>
    </cfRule>
  </conditionalFormatting>
  <conditionalFormatting sqref="I177">
    <cfRule type="cellIs" dxfId="1892" priority="8144" operator="greaterThan">
      <formula>70</formula>
    </cfRule>
  </conditionalFormatting>
  <conditionalFormatting sqref="J177">
    <cfRule type="cellIs" dxfId="1891" priority="8145" operator="lessThan">
      <formula>0</formula>
    </cfRule>
  </conditionalFormatting>
  <conditionalFormatting sqref="J177">
    <cfRule type="cellIs" dxfId="1890" priority="8146" operator="greaterThan">
      <formula>70</formula>
    </cfRule>
  </conditionalFormatting>
  <conditionalFormatting sqref="K177">
    <cfRule type="cellIs" dxfId="1889" priority="8147" operator="lessThan">
      <formula>0</formula>
    </cfRule>
  </conditionalFormatting>
  <conditionalFormatting sqref="K177">
    <cfRule type="cellIs" dxfId="1888" priority="8148" operator="greaterThan">
      <formula>70</formula>
    </cfRule>
  </conditionalFormatting>
  <conditionalFormatting sqref="S177">
    <cfRule type="cellIs" dxfId="1887" priority="8149" operator="lessThan">
      <formula>0</formula>
    </cfRule>
  </conditionalFormatting>
  <conditionalFormatting sqref="S177">
    <cfRule type="cellIs" dxfId="1886" priority="8150" operator="greaterThan">
      <formula>70</formula>
    </cfRule>
  </conditionalFormatting>
  <conditionalFormatting sqref="T177">
    <cfRule type="cellIs" dxfId="1885" priority="8151" operator="lessThan">
      <formula>0</formula>
    </cfRule>
  </conditionalFormatting>
  <conditionalFormatting sqref="T177">
    <cfRule type="cellIs" dxfId="1884" priority="8152" operator="greaterThan">
      <formula>30</formula>
    </cfRule>
  </conditionalFormatting>
  <conditionalFormatting sqref="C178">
    <cfRule type="cellIs" dxfId="1883" priority="8153" operator="lessThan">
      <formula>0</formula>
    </cfRule>
  </conditionalFormatting>
  <conditionalFormatting sqref="C178">
    <cfRule type="cellIs" dxfId="1882" priority="8154" operator="greaterThan">
      <formula>100</formula>
    </cfRule>
  </conditionalFormatting>
  <conditionalFormatting sqref="F178">
    <cfRule type="cellIs" dxfId="1881" priority="8155" operator="lessThan">
      <formula>0</formula>
    </cfRule>
  </conditionalFormatting>
  <conditionalFormatting sqref="F178">
    <cfRule type="cellIs" dxfId="1880" priority="8156" operator="greaterThan">
      <formula>70</formula>
    </cfRule>
  </conditionalFormatting>
  <conditionalFormatting sqref="G178">
    <cfRule type="cellIs" dxfId="1879" priority="8157" operator="lessThan">
      <formula>0</formula>
    </cfRule>
  </conditionalFormatting>
  <conditionalFormatting sqref="G178">
    <cfRule type="cellIs" dxfId="1878" priority="8158" operator="greaterThan">
      <formula>70</formula>
    </cfRule>
  </conditionalFormatting>
  <conditionalFormatting sqref="H178">
    <cfRule type="cellIs" dxfId="1877" priority="8159" operator="lessThan">
      <formula>0</formula>
    </cfRule>
  </conditionalFormatting>
  <conditionalFormatting sqref="H178">
    <cfRule type="cellIs" dxfId="1876" priority="8160" operator="greaterThan">
      <formula>70</formula>
    </cfRule>
  </conditionalFormatting>
  <conditionalFormatting sqref="I178">
    <cfRule type="cellIs" dxfId="1875" priority="8161" operator="lessThan">
      <formula>0</formula>
    </cfRule>
  </conditionalFormatting>
  <conditionalFormatting sqref="I178">
    <cfRule type="cellIs" dxfId="1874" priority="8162" operator="greaterThan">
      <formula>70</formula>
    </cfRule>
  </conditionalFormatting>
  <conditionalFormatting sqref="J178">
    <cfRule type="cellIs" dxfId="1873" priority="8163" operator="lessThan">
      <formula>0</formula>
    </cfRule>
  </conditionalFormatting>
  <conditionalFormatting sqref="J178">
    <cfRule type="cellIs" dxfId="1872" priority="8164" operator="greaterThan">
      <formula>70</formula>
    </cfRule>
  </conditionalFormatting>
  <conditionalFormatting sqref="K178">
    <cfRule type="cellIs" dxfId="1871" priority="8165" operator="lessThan">
      <formula>0</formula>
    </cfRule>
  </conditionalFormatting>
  <conditionalFormatting sqref="K178">
    <cfRule type="cellIs" dxfId="1870" priority="8166" operator="greaterThan">
      <formula>70</formula>
    </cfRule>
  </conditionalFormatting>
  <conditionalFormatting sqref="S178">
    <cfRule type="cellIs" dxfId="1869" priority="8167" operator="lessThan">
      <formula>0</formula>
    </cfRule>
  </conditionalFormatting>
  <conditionalFormatting sqref="S178">
    <cfRule type="cellIs" dxfId="1868" priority="8168" operator="greaterThan">
      <formula>70</formula>
    </cfRule>
  </conditionalFormatting>
  <conditionalFormatting sqref="T178">
    <cfRule type="cellIs" dxfId="1867" priority="8169" operator="lessThan">
      <formula>0</formula>
    </cfRule>
  </conditionalFormatting>
  <conditionalFormatting sqref="T178">
    <cfRule type="cellIs" dxfId="1866" priority="8170" operator="greaterThan">
      <formula>30</formula>
    </cfRule>
  </conditionalFormatting>
  <conditionalFormatting sqref="C179">
    <cfRule type="cellIs" dxfId="1865" priority="8171" operator="lessThan">
      <formula>0</formula>
    </cfRule>
  </conditionalFormatting>
  <conditionalFormatting sqref="C179">
    <cfRule type="cellIs" dxfId="1864" priority="8172" operator="greaterThan">
      <formula>100</formula>
    </cfRule>
  </conditionalFormatting>
  <conditionalFormatting sqref="F179">
    <cfRule type="cellIs" dxfId="1863" priority="8173" operator="lessThan">
      <formula>0</formula>
    </cfRule>
  </conditionalFormatting>
  <conditionalFormatting sqref="F179">
    <cfRule type="cellIs" dxfId="1862" priority="8174" operator="greaterThan">
      <formula>70</formula>
    </cfRule>
  </conditionalFormatting>
  <conditionalFormatting sqref="G179">
    <cfRule type="cellIs" dxfId="1861" priority="8175" operator="lessThan">
      <formula>0</formula>
    </cfRule>
  </conditionalFormatting>
  <conditionalFormatting sqref="G179">
    <cfRule type="cellIs" dxfId="1860" priority="8176" operator="greaterThan">
      <formula>70</formula>
    </cfRule>
  </conditionalFormatting>
  <conditionalFormatting sqref="H179">
    <cfRule type="cellIs" dxfId="1859" priority="8177" operator="lessThan">
      <formula>0</formula>
    </cfRule>
  </conditionalFormatting>
  <conditionalFormatting sqref="H179">
    <cfRule type="cellIs" dxfId="1858" priority="8178" operator="greaterThan">
      <formula>70</formula>
    </cfRule>
  </conditionalFormatting>
  <conditionalFormatting sqref="I179">
    <cfRule type="cellIs" dxfId="1857" priority="8179" operator="lessThan">
      <formula>0</formula>
    </cfRule>
  </conditionalFormatting>
  <conditionalFormatting sqref="I179">
    <cfRule type="cellIs" dxfId="1856" priority="8180" operator="greaterThan">
      <formula>70</formula>
    </cfRule>
  </conditionalFormatting>
  <conditionalFormatting sqref="J179">
    <cfRule type="cellIs" dxfId="1855" priority="8181" operator="lessThan">
      <formula>0</formula>
    </cfRule>
  </conditionalFormatting>
  <conditionalFormatting sqref="J179">
    <cfRule type="cellIs" dxfId="1854" priority="8182" operator="greaterThan">
      <formula>70</formula>
    </cfRule>
  </conditionalFormatting>
  <conditionalFormatting sqref="K179">
    <cfRule type="cellIs" dxfId="1853" priority="8183" operator="lessThan">
      <formula>0</formula>
    </cfRule>
  </conditionalFormatting>
  <conditionalFormatting sqref="K179">
    <cfRule type="cellIs" dxfId="1852" priority="8184" operator="greaterThan">
      <formula>70</formula>
    </cfRule>
  </conditionalFormatting>
  <conditionalFormatting sqref="S179">
    <cfRule type="cellIs" dxfId="1851" priority="8185" operator="lessThan">
      <formula>0</formula>
    </cfRule>
  </conditionalFormatting>
  <conditionalFormatting sqref="S179">
    <cfRule type="cellIs" dxfId="1850" priority="8186" operator="greaterThan">
      <formula>70</formula>
    </cfRule>
  </conditionalFormatting>
  <conditionalFormatting sqref="T179">
    <cfRule type="cellIs" dxfId="1849" priority="8187" operator="lessThan">
      <formula>0</formula>
    </cfRule>
  </conditionalFormatting>
  <conditionalFormatting sqref="T179">
    <cfRule type="cellIs" dxfId="1848" priority="8188" operator="greaterThan">
      <formula>30</formula>
    </cfRule>
  </conditionalFormatting>
  <conditionalFormatting sqref="C180">
    <cfRule type="cellIs" dxfId="1847" priority="8189" operator="lessThan">
      <formula>0</formula>
    </cfRule>
  </conditionalFormatting>
  <conditionalFormatting sqref="C180">
    <cfRule type="cellIs" dxfId="1846" priority="8190" operator="greaterThan">
      <formula>100</formula>
    </cfRule>
  </conditionalFormatting>
  <conditionalFormatting sqref="F180">
    <cfRule type="cellIs" dxfId="1845" priority="8191" operator="lessThan">
      <formula>0</formula>
    </cfRule>
  </conditionalFormatting>
  <conditionalFormatting sqref="F180">
    <cfRule type="cellIs" dxfId="1844" priority="8192" operator="greaterThan">
      <formula>70</formula>
    </cfRule>
  </conditionalFormatting>
  <conditionalFormatting sqref="G180">
    <cfRule type="cellIs" dxfId="1843" priority="8193" operator="lessThan">
      <formula>0</formula>
    </cfRule>
  </conditionalFormatting>
  <conditionalFormatting sqref="G180">
    <cfRule type="cellIs" dxfId="1842" priority="8194" operator="greaterThan">
      <formula>70</formula>
    </cfRule>
  </conditionalFormatting>
  <conditionalFormatting sqref="H180">
    <cfRule type="cellIs" dxfId="1841" priority="8195" operator="lessThan">
      <formula>0</formula>
    </cfRule>
  </conditionalFormatting>
  <conditionalFormatting sqref="H180">
    <cfRule type="cellIs" dxfId="1840" priority="8196" operator="greaterThan">
      <formula>70</formula>
    </cfRule>
  </conditionalFormatting>
  <conditionalFormatting sqref="I180">
    <cfRule type="cellIs" dxfId="1839" priority="8197" operator="lessThan">
      <formula>0</formula>
    </cfRule>
  </conditionalFormatting>
  <conditionalFormatting sqref="I180">
    <cfRule type="cellIs" dxfId="1838" priority="8198" operator="greaterThan">
      <formula>70</formula>
    </cfRule>
  </conditionalFormatting>
  <conditionalFormatting sqref="J180">
    <cfRule type="cellIs" dxfId="1837" priority="8199" operator="lessThan">
      <formula>0</formula>
    </cfRule>
  </conditionalFormatting>
  <conditionalFormatting sqref="J180">
    <cfRule type="cellIs" dxfId="1836" priority="8200" operator="greaterThan">
      <formula>70</formula>
    </cfRule>
  </conditionalFormatting>
  <conditionalFormatting sqref="K180">
    <cfRule type="cellIs" dxfId="1835" priority="8201" operator="lessThan">
      <formula>0</formula>
    </cfRule>
  </conditionalFormatting>
  <conditionalFormatting sqref="K180">
    <cfRule type="cellIs" dxfId="1834" priority="8202" operator="greaterThan">
      <formula>70</formula>
    </cfRule>
  </conditionalFormatting>
  <conditionalFormatting sqref="S180">
    <cfRule type="cellIs" dxfId="1833" priority="8203" operator="lessThan">
      <formula>0</formula>
    </cfRule>
  </conditionalFormatting>
  <conditionalFormatting sqref="S180">
    <cfRule type="cellIs" dxfId="1832" priority="8204" operator="greaterThan">
      <formula>70</formula>
    </cfRule>
  </conditionalFormatting>
  <conditionalFormatting sqref="T180">
    <cfRule type="cellIs" dxfId="1831" priority="8205" operator="lessThan">
      <formula>0</formula>
    </cfRule>
  </conditionalFormatting>
  <conditionalFormatting sqref="T180">
    <cfRule type="cellIs" dxfId="1830" priority="8206" operator="greaterThan">
      <formula>30</formula>
    </cfRule>
  </conditionalFormatting>
  <conditionalFormatting sqref="C181">
    <cfRule type="cellIs" dxfId="1829" priority="8207" operator="lessThan">
      <formula>0</formula>
    </cfRule>
  </conditionalFormatting>
  <conditionalFormatting sqref="C181">
    <cfRule type="cellIs" dxfId="1828" priority="8208" operator="greaterThan">
      <formula>100</formula>
    </cfRule>
  </conditionalFormatting>
  <conditionalFormatting sqref="F181">
    <cfRule type="cellIs" dxfId="1827" priority="8209" operator="lessThan">
      <formula>0</formula>
    </cfRule>
  </conditionalFormatting>
  <conditionalFormatting sqref="F181">
    <cfRule type="cellIs" dxfId="1826" priority="8210" operator="greaterThan">
      <formula>70</formula>
    </cfRule>
  </conditionalFormatting>
  <conditionalFormatting sqref="G181">
    <cfRule type="cellIs" dxfId="1825" priority="8211" operator="lessThan">
      <formula>0</formula>
    </cfRule>
  </conditionalFormatting>
  <conditionalFormatting sqref="G181">
    <cfRule type="cellIs" dxfId="1824" priority="8212" operator="greaterThan">
      <formula>70</formula>
    </cfRule>
  </conditionalFormatting>
  <conditionalFormatting sqref="H181">
    <cfRule type="cellIs" dxfId="1823" priority="8213" operator="lessThan">
      <formula>0</formula>
    </cfRule>
  </conditionalFormatting>
  <conditionalFormatting sqref="H181">
    <cfRule type="cellIs" dxfId="1822" priority="8214" operator="greaterThan">
      <formula>70</formula>
    </cfRule>
  </conditionalFormatting>
  <conditionalFormatting sqref="I181">
    <cfRule type="cellIs" dxfId="1821" priority="8215" operator="lessThan">
      <formula>0</formula>
    </cfRule>
  </conditionalFormatting>
  <conditionalFormatting sqref="I181">
    <cfRule type="cellIs" dxfId="1820" priority="8216" operator="greaterThan">
      <formula>70</formula>
    </cfRule>
  </conditionalFormatting>
  <conditionalFormatting sqref="J181">
    <cfRule type="cellIs" dxfId="1819" priority="8217" operator="lessThan">
      <formula>0</formula>
    </cfRule>
  </conditionalFormatting>
  <conditionalFormatting sqref="J181">
    <cfRule type="cellIs" dxfId="1818" priority="8218" operator="greaterThan">
      <formula>70</formula>
    </cfRule>
  </conditionalFormatting>
  <conditionalFormatting sqref="K181">
    <cfRule type="cellIs" dxfId="1817" priority="8219" operator="lessThan">
      <formula>0</formula>
    </cfRule>
  </conditionalFormatting>
  <conditionalFormatting sqref="K181">
    <cfRule type="cellIs" dxfId="1816" priority="8220" operator="greaterThan">
      <formula>70</formula>
    </cfRule>
  </conditionalFormatting>
  <conditionalFormatting sqref="S181">
    <cfRule type="cellIs" dxfId="1815" priority="8221" operator="lessThan">
      <formula>0</formula>
    </cfRule>
  </conditionalFormatting>
  <conditionalFormatting sqref="S181">
    <cfRule type="cellIs" dxfId="1814" priority="8222" operator="greaterThan">
      <formula>70</formula>
    </cfRule>
  </conditionalFormatting>
  <conditionalFormatting sqref="T181">
    <cfRule type="cellIs" dxfId="1813" priority="8223" operator="lessThan">
      <formula>0</formula>
    </cfRule>
  </conditionalFormatting>
  <conditionalFormatting sqref="T181">
    <cfRule type="cellIs" dxfId="1812" priority="8224" operator="greaterThan">
      <formula>30</formula>
    </cfRule>
  </conditionalFormatting>
  <conditionalFormatting sqref="C182">
    <cfRule type="cellIs" dxfId="1811" priority="8225" operator="lessThan">
      <formula>0</formula>
    </cfRule>
  </conditionalFormatting>
  <conditionalFormatting sqref="C182">
    <cfRule type="cellIs" dxfId="1810" priority="8226" operator="greaterThan">
      <formula>100</formula>
    </cfRule>
  </conditionalFormatting>
  <conditionalFormatting sqref="F182">
    <cfRule type="cellIs" dxfId="1809" priority="8227" operator="lessThan">
      <formula>0</formula>
    </cfRule>
  </conditionalFormatting>
  <conditionalFormatting sqref="F182">
    <cfRule type="cellIs" dxfId="1808" priority="8228" operator="greaterThan">
      <formula>70</formula>
    </cfRule>
  </conditionalFormatting>
  <conditionalFormatting sqref="G182">
    <cfRule type="cellIs" dxfId="1807" priority="8229" operator="lessThan">
      <formula>0</formula>
    </cfRule>
  </conditionalFormatting>
  <conditionalFormatting sqref="G182">
    <cfRule type="cellIs" dxfId="1806" priority="8230" operator="greaterThan">
      <formula>70</formula>
    </cfRule>
  </conditionalFormatting>
  <conditionalFormatting sqref="H182">
    <cfRule type="cellIs" dxfId="1805" priority="8231" operator="lessThan">
      <formula>0</formula>
    </cfRule>
  </conditionalFormatting>
  <conditionalFormatting sqref="H182">
    <cfRule type="cellIs" dxfId="1804" priority="8232" operator="greaterThan">
      <formula>70</formula>
    </cfRule>
  </conditionalFormatting>
  <conditionalFormatting sqref="I182">
    <cfRule type="cellIs" dxfId="1803" priority="8233" operator="lessThan">
      <formula>0</formula>
    </cfRule>
  </conditionalFormatting>
  <conditionalFormatting sqref="I182">
    <cfRule type="cellIs" dxfId="1802" priority="8234" operator="greaterThan">
      <formula>70</formula>
    </cfRule>
  </conditionalFormatting>
  <conditionalFormatting sqref="J182">
    <cfRule type="cellIs" dxfId="1801" priority="8235" operator="lessThan">
      <formula>0</formula>
    </cfRule>
  </conditionalFormatting>
  <conditionalFormatting sqref="J182">
    <cfRule type="cellIs" dxfId="1800" priority="8236" operator="greaterThan">
      <formula>70</formula>
    </cfRule>
  </conditionalFormatting>
  <conditionalFormatting sqref="K182">
    <cfRule type="cellIs" dxfId="1799" priority="8237" operator="lessThan">
      <formula>0</formula>
    </cfRule>
  </conditionalFormatting>
  <conditionalFormatting sqref="K182">
    <cfRule type="cellIs" dxfId="1798" priority="8238" operator="greaterThan">
      <formula>70</formula>
    </cfRule>
  </conditionalFormatting>
  <conditionalFormatting sqref="S182">
    <cfRule type="cellIs" dxfId="1797" priority="8239" operator="lessThan">
      <formula>0</formula>
    </cfRule>
  </conditionalFormatting>
  <conditionalFormatting sqref="S182">
    <cfRule type="cellIs" dxfId="1796" priority="8240" operator="greaterThan">
      <formula>70</formula>
    </cfRule>
  </conditionalFormatting>
  <conditionalFormatting sqref="T182">
    <cfRule type="cellIs" dxfId="1795" priority="8241" operator="lessThan">
      <formula>0</formula>
    </cfRule>
  </conditionalFormatting>
  <conditionalFormatting sqref="T182">
    <cfRule type="cellIs" dxfId="1794" priority="8242" operator="greaterThan">
      <formula>30</formula>
    </cfRule>
  </conditionalFormatting>
  <conditionalFormatting sqref="C183">
    <cfRule type="cellIs" dxfId="1793" priority="8243" operator="lessThan">
      <formula>0</formula>
    </cfRule>
  </conditionalFormatting>
  <conditionalFormatting sqref="C183">
    <cfRule type="cellIs" dxfId="1792" priority="8244" operator="greaterThan">
      <formula>100</formula>
    </cfRule>
  </conditionalFormatting>
  <conditionalFormatting sqref="F183">
    <cfRule type="cellIs" dxfId="1791" priority="8245" operator="lessThan">
      <formula>0</formula>
    </cfRule>
  </conditionalFormatting>
  <conditionalFormatting sqref="F183">
    <cfRule type="cellIs" dxfId="1790" priority="8246" operator="greaterThan">
      <formula>70</formula>
    </cfRule>
  </conditionalFormatting>
  <conditionalFormatting sqref="G183">
    <cfRule type="cellIs" dxfId="1789" priority="8247" operator="lessThan">
      <formula>0</formula>
    </cfRule>
  </conditionalFormatting>
  <conditionalFormatting sqref="G183">
    <cfRule type="cellIs" dxfId="1788" priority="8248" operator="greaterThan">
      <formula>70</formula>
    </cfRule>
  </conditionalFormatting>
  <conditionalFormatting sqref="H183">
    <cfRule type="cellIs" dxfId="1787" priority="8249" operator="lessThan">
      <formula>0</formula>
    </cfRule>
  </conditionalFormatting>
  <conditionalFormatting sqref="H183">
    <cfRule type="cellIs" dxfId="1786" priority="8250" operator="greaterThan">
      <formula>70</formula>
    </cfRule>
  </conditionalFormatting>
  <conditionalFormatting sqref="I183">
    <cfRule type="cellIs" dxfId="1785" priority="8251" operator="lessThan">
      <formula>0</formula>
    </cfRule>
  </conditionalFormatting>
  <conditionalFormatting sqref="I183">
    <cfRule type="cellIs" dxfId="1784" priority="8252" operator="greaterThan">
      <formula>70</formula>
    </cfRule>
  </conditionalFormatting>
  <conditionalFormatting sqref="J183">
    <cfRule type="cellIs" dxfId="1783" priority="8253" operator="lessThan">
      <formula>0</formula>
    </cfRule>
  </conditionalFormatting>
  <conditionalFormatting sqref="J183">
    <cfRule type="cellIs" dxfId="1782" priority="8254" operator="greaterThan">
      <formula>70</formula>
    </cfRule>
  </conditionalFormatting>
  <conditionalFormatting sqref="K183">
    <cfRule type="cellIs" dxfId="1781" priority="8255" operator="lessThan">
      <formula>0</formula>
    </cfRule>
  </conditionalFormatting>
  <conditionalFormatting sqref="K183">
    <cfRule type="cellIs" dxfId="1780" priority="8256" operator="greaterThan">
      <formula>70</formula>
    </cfRule>
  </conditionalFormatting>
  <conditionalFormatting sqref="S183">
    <cfRule type="cellIs" dxfId="1779" priority="8257" operator="lessThan">
      <formula>0</formula>
    </cfRule>
  </conditionalFormatting>
  <conditionalFormatting sqref="S183">
    <cfRule type="cellIs" dxfId="1778" priority="8258" operator="greaterThan">
      <formula>70</formula>
    </cfRule>
  </conditionalFormatting>
  <conditionalFormatting sqref="T183">
    <cfRule type="cellIs" dxfId="1777" priority="8259" operator="lessThan">
      <formula>0</formula>
    </cfRule>
  </conditionalFormatting>
  <conditionalFormatting sqref="T183">
    <cfRule type="cellIs" dxfId="1776" priority="8260" operator="greaterThan">
      <formula>30</formula>
    </cfRule>
  </conditionalFormatting>
  <conditionalFormatting sqref="C184">
    <cfRule type="cellIs" dxfId="1775" priority="8261" operator="lessThan">
      <formula>0</formula>
    </cfRule>
  </conditionalFormatting>
  <conditionalFormatting sqref="C184">
    <cfRule type="cellIs" dxfId="1774" priority="8262" operator="greaterThan">
      <formula>100</formula>
    </cfRule>
  </conditionalFormatting>
  <conditionalFormatting sqref="F184">
    <cfRule type="cellIs" dxfId="1773" priority="8263" operator="lessThan">
      <formula>0</formula>
    </cfRule>
  </conditionalFormatting>
  <conditionalFormatting sqref="F184">
    <cfRule type="cellIs" dxfId="1772" priority="8264" operator="greaterThan">
      <formula>70</formula>
    </cfRule>
  </conditionalFormatting>
  <conditionalFormatting sqref="G184">
    <cfRule type="cellIs" dxfId="1771" priority="8265" operator="lessThan">
      <formula>0</formula>
    </cfRule>
  </conditionalFormatting>
  <conditionalFormatting sqref="G184">
    <cfRule type="cellIs" dxfId="1770" priority="8266" operator="greaterThan">
      <formula>70</formula>
    </cfRule>
  </conditionalFormatting>
  <conditionalFormatting sqref="H184">
    <cfRule type="cellIs" dxfId="1769" priority="8267" operator="lessThan">
      <formula>0</formula>
    </cfRule>
  </conditionalFormatting>
  <conditionalFormatting sqref="H184">
    <cfRule type="cellIs" dxfId="1768" priority="8268" operator="greaterThan">
      <formula>70</formula>
    </cfRule>
  </conditionalFormatting>
  <conditionalFormatting sqref="I184">
    <cfRule type="cellIs" dxfId="1767" priority="8269" operator="lessThan">
      <formula>0</formula>
    </cfRule>
  </conditionalFormatting>
  <conditionalFormatting sqref="I184">
    <cfRule type="cellIs" dxfId="1766" priority="8270" operator="greaterThan">
      <formula>70</formula>
    </cfRule>
  </conditionalFormatting>
  <conditionalFormatting sqref="J184">
    <cfRule type="cellIs" dxfId="1765" priority="8271" operator="lessThan">
      <formula>0</formula>
    </cfRule>
  </conditionalFormatting>
  <conditionalFormatting sqref="J184">
    <cfRule type="cellIs" dxfId="1764" priority="8272" operator="greaterThan">
      <formula>70</formula>
    </cfRule>
  </conditionalFormatting>
  <conditionalFormatting sqref="K184">
    <cfRule type="cellIs" dxfId="1763" priority="8273" operator="lessThan">
      <formula>0</formula>
    </cfRule>
  </conditionalFormatting>
  <conditionalFormatting sqref="K184">
    <cfRule type="cellIs" dxfId="1762" priority="8274" operator="greaterThan">
      <formula>70</formula>
    </cfRule>
  </conditionalFormatting>
  <conditionalFormatting sqref="S184">
    <cfRule type="cellIs" dxfId="1761" priority="8275" operator="lessThan">
      <formula>0</formula>
    </cfRule>
  </conditionalFormatting>
  <conditionalFormatting sqref="S184">
    <cfRule type="cellIs" dxfId="1760" priority="8276" operator="greaterThan">
      <formula>70</formula>
    </cfRule>
  </conditionalFormatting>
  <conditionalFormatting sqref="T184">
    <cfRule type="cellIs" dxfId="1759" priority="8277" operator="lessThan">
      <formula>0</formula>
    </cfRule>
  </conditionalFormatting>
  <conditionalFormatting sqref="T184">
    <cfRule type="cellIs" dxfId="1758" priority="8278" operator="greaterThan">
      <formula>30</formula>
    </cfRule>
  </conditionalFormatting>
  <conditionalFormatting sqref="C185">
    <cfRule type="cellIs" dxfId="1757" priority="8279" operator="lessThan">
      <formula>0</formula>
    </cfRule>
  </conditionalFormatting>
  <conditionalFormatting sqref="C185">
    <cfRule type="cellIs" dxfId="1756" priority="8280" operator="greaterThan">
      <formula>100</formula>
    </cfRule>
  </conditionalFormatting>
  <conditionalFormatting sqref="F185">
    <cfRule type="cellIs" dxfId="1755" priority="8281" operator="lessThan">
      <formula>0</formula>
    </cfRule>
  </conditionalFormatting>
  <conditionalFormatting sqref="F185">
    <cfRule type="cellIs" dxfId="1754" priority="8282" operator="greaterThan">
      <formula>70</formula>
    </cfRule>
  </conditionalFormatting>
  <conditionalFormatting sqref="G185">
    <cfRule type="cellIs" dxfId="1753" priority="8283" operator="lessThan">
      <formula>0</formula>
    </cfRule>
  </conditionalFormatting>
  <conditionalFormatting sqref="G185">
    <cfRule type="cellIs" dxfId="1752" priority="8284" operator="greaterThan">
      <formula>70</formula>
    </cfRule>
  </conditionalFormatting>
  <conditionalFormatting sqref="H185">
    <cfRule type="cellIs" dxfId="1751" priority="8285" operator="lessThan">
      <formula>0</formula>
    </cfRule>
  </conditionalFormatting>
  <conditionalFormatting sqref="H185">
    <cfRule type="cellIs" dxfId="1750" priority="8286" operator="greaterThan">
      <formula>70</formula>
    </cfRule>
  </conditionalFormatting>
  <conditionalFormatting sqref="I185">
    <cfRule type="cellIs" dxfId="1749" priority="8287" operator="lessThan">
      <formula>0</formula>
    </cfRule>
  </conditionalFormatting>
  <conditionalFormatting sqref="I185">
    <cfRule type="cellIs" dxfId="1748" priority="8288" operator="greaterThan">
      <formula>70</formula>
    </cfRule>
  </conditionalFormatting>
  <conditionalFormatting sqref="J185">
    <cfRule type="cellIs" dxfId="1747" priority="8289" operator="lessThan">
      <formula>0</formula>
    </cfRule>
  </conditionalFormatting>
  <conditionalFormatting sqref="J185">
    <cfRule type="cellIs" dxfId="1746" priority="8290" operator="greaterThan">
      <formula>70</formula>
    </cfRule>
  </conditionalFormatting>
  <conditionalFormatting sqref="K185">
    <cfRule type="cellIs" dxfId="1745" priority="8291" operator="lessThan">
      <formula>0</formula>
    </cfRule>
  </conditionalFormatting>
  <conditionalFormatting sqref="K185">
    <cfRule type="cellIs" dxfId="1744" priority="8292" operator="greaterThan">
      <formula>70</formula>
    </cfRule>
  </conditionalFormatting>
  <conditionalFormatting sqref="S185">
    <cfRule type="cellIs" dxfId="1743" priority="8293" operator="lessThan">
      <formula>0</formula>
    </cfRule>
  </conditionalFormatting>
  <conditionalFormatting sqref="S185">
    <cfRule type="cellIs" dxfId="1742" priority="8294" operator="greaterThan">
      <formula>70</formula>
    </cfRule>
  </conditionalFormatting>
  <conditionalFormatting sqref="T185">
    <cfRule type="cellIs" dxfId="1741" priority="8295" operator="lessThan">
      <formula>0</formula>
    </cfRule>
  </conditionalFormatting>
  <conditionalFormatting sqref="T185">
    <cfRule type="cellIs" dxfId="1740" priority="8296" operator="greaterThan">
      <formula>30</formula>
    </cfRule>
  </conditionalFormatting>
  <conditionalFormatting sqref="C186">
    <cfRule type="cellIs" dxfId="1739" priority="8297" operator="lessThan">
      <formula>0</formula>
    </cfRule>
  </conditionalFormatting>
  <conditionalFormatting sqref="C186">
    <cfRule type="cellIs" dxfId="1738" priority="8298" operator="greaterThan">
      <formula>100</formula>
    </cfRule>
  </conditionalFormatting>
  <conditionalFormatting sqref="F186">
    <cfRule type="cellIs" dxfId="1737" priority="8299" operator="lessThan">
      <formula>0</formula>
    </cfRule>
  </conditionalFormatting>
  <conditionalFormatting sqref="F186">
    <cfRule type="cellIs" dxfId="1736" priority="8300" operator="greaterThan">
      <formula>70</formula>
    </cfRule>
  </conditionalFormatting>
  <conditionalFormatting sqref="G186">
    <cfRule type="cellIs" dxfId="1735" priority="8301" operator="lessThan">
      <formula>0</formula>
    </cfRule>
  </conditionalFormatting>
  <conditionalFormatting sqref="G186">
    <cfRule type="cellIs" dxfId="1734" priority="8302" operator="greaterThan">
      <formula>70</formula>
    </cfRule>
  </conditionalFormatting>
  <conditionalFormatting sqref="H186">
    <cfRule type="cellIs" dxfId="1733" priority="8303" operator="lessThan">
      <formula>0</formula>
    </cfRule>
  </conditionalFormatting>
  <conditionalFormatting sqref="H186">
    <cfRule type="cellIs" dxfId="1732" priority="8304" operator="greaterThan">
      <formula>70</formula>
    </cfRule>
  </conditionalFormatting>
  <conditionalFormatting sqref="I186">
    <cfRule type="cellIs" dxfId="1731" priority="8305" operator="lessThan">
      <formula>0</formula>
    </cfRule>
  </conditionalFormatting>
  <conditionalFormatting sqref="I186">
    <cfRule type="cellIs" dxfId="1730" priority="8306" operator="greaterThan">
      <formula>70</formula>
    </cfRule>
  </conditionalFormatting>
  <conditionalFormatting sqref="J186">
    <cfRule type="cellIs" dxfId="1729" priority="8307" operator="lessThan">
      <formula>0</formula>
    </cfRule>
  </conditionalFormatting>
  <conditionalFormatting sqref="J186">
    <cfRule type="cellIs" dxfId="1728" priority="8308" operator="greaterThan">
      <formula>70</formula>
    </cfRule>
  </conditionalFormatting>
  <conditionalFormatting sqref="K186">
    <cfRule type="cellIs" dxfId="1727" priority="8309" operator="lessThan">
      <formula>0</formula>
    </cfRule>
  </conditionalFormatting>
  <conditionalFormatting sqref="K186">
    <cfRule type="cellIs" dxfId="1726" priority="8310" operator="greaterThan">
      <formula>70</formula>
    </cfRule>
  </conditionalFormatting>
  <conditionalFormatting sqref="S186">
    <cfRule type="cellIs" dxfId="1725" priority="8311" operator="lessThan">
      <formula>0</formula>
    </cfRule>
  </conditionalFormatting>
  <conditionalFormatting sqref="S186">
    <cfRule type="cellIs" dxfId="1724" priority="8312" operator="greaterThan">
      <formula>70</formula>
    </cfRule>
  </conditionalFormatting>
  <conditionalFormatting sqref="T186">
    <cfRule type="cellIs" dxfId="1723" priority="8313" operator="lessThan">
      <formula>0</formula>
    </cfRule>
  </conditionalFormatting>
  <conditionalFormatting sqref="T186">
    <cfRule type="cellIs" dxfId="1722" priority="8314" operator="greaterThan">
      <formula>30</formula>
    </cfRule>
  </conditionalFormatting>
  <conditionalFormatting sqref="C187">
    <cfRule type="cellIs" dxfId="1721" priority="8315" operator="lessThan">
      <formula>0</formula>
    </cfRule>
  </conditionalFormatting>
  <conditionalFormatting sqref="C187">
    <cfRule type="cellIs" dxfId="1720" priority="8316" operator="greaterThan">
      <formula>100</formula>
    </cfRule>
  </conditionalFormatting>
  <conditionalFormatting sqref="F187">
    <cfRule type="cellIs" dxfId="1719" priority="8317" operator="lessThan">
      <formula>0</formula>
    </cfRule>
  </conditionalFormatting>
  <conditionalFormatting sqref="F187">
    <cfRule type="cellIs" dxfId="1718" priority="8318" operator="greaterThan">
      <formula>70</formula>
    </cfRule>
  </conditionalFormatting>
  <conditionalFormatting sqref="G187">
    <cfRule type="cellIs" dxfId="1717" priority="8319" operator="lessThan">
      <formula>0</formula>
    </cfRule>
  </conditionalFormatting>
  <conditionalFormatting sqref="G187">
    <cfRule type="cellIs" dxfId="1716" priority="8320" operator="greaterThan">
      <formula>70</formula>
    </cfRule>
  </conditionalFormatting>
  <conditionalFormatting sqref="H187">
    <cfRule type="cellIs" dxfId="1715" priority="8321" operator="lessThan">
      <formula>0</formula>
    </cfRule>
  </conditionalFormatting>
  <conditionalFormatting sqref="H187">
    <cfRule type="cellIs" dxfId="1714" priority="8322" operator="greaterThan">
      <formula>70</formula>
    </cfRule>
  </conditionalFormatting>
  <conditionalFormatting sqref="I187">
    <cfRule type="cellIs" dxfId="1713" priority="8323" operator="lessThan">
      <formula>0</formula>
    </cfRule>
  </conditionalFormatting>
  <conditionalFormatting sqref="I187">
    <cfRule type="cellIs" dxfId="1712" priority="8324" operator="greaterThan">
      <formula>70</formula>
    </cfRule>
  </conditionalFormatting>
  <conditionalFormatting sqref="J187">
    <cfRule type="cellIs" dxfId="1711" priority="8325" operator="lessThan">
      <formula>0</formula>
    </cfRule>
  </conditionalFormatting>
  <conditionalFormatting sqref="J187">
    <cfRule type="cellIs" dxfId="1710" priority="8326" operator="greaterThan">
      <formula>70</formula>
    </cfRule>
  </conditionalFormatting>
  <conditionalFormatting sqref="K187">
    <cfRule type="cellIs" dxfId="1709" priority="8327" operator="lessThan">
      <formula>0</formula>
    </cfRule>
  </conditionalFormatting>
  <conditionalFormatting sqref="K187">
    <cfRule type="cellIs" dxfId="1708" priority="8328" operator="greaterThan">
      <formula>70</formula>
    </cfRule>
  </conditionalFormatting>
  <conditionalFormatting sqref="S187">
    <cfRule type="cellIs" dxfId="1707" priority="8329" operator="lessThan">
      <formula>0</formula>
    </cfRule>
  </conditionalFormatting>
  <conditionalFormatting sqref="S187">
    <cfRule type="cellIs" dxfId="1706" priority="8330" operator="greaterThan">
      <formula>70</formula>
    </cfRule>
  </conditionalFormatting>
  <conditionalFormatting sqref="T187">
    <cfRule type="cellIs" dxfId="1705" priority="8331" operator="lessThan">
      <formula>0</formula>
    </cfRule>
  </conditionalFormatting>
  <conditionalFormatting sqref="T187">
    <cfRule type="cellIs" dxfId="1704" priority="8332" operator="greaterThan">
      <formula>30</formula>
    </cfRule>
  </conditionalFormatting>
  <conditionalFormatting sqref="C188">
    <cfRule type="cellIs" dxfId="1703" priority="8333" operator="lessThan">
      <formula>0</formula>
    </cfRule>
  </conditionalFormatting>
  <conditionalFormatting sqref="C188">
    <cfRule type="cellIs" dxfId="1702" priority="8334" operator="greaterThan">
      <formula>100</formula>
    </cfRule>
  </conditionalFormatting>
  <conditionalFormatting sqref="F188">
    <cfRule type="cellIs" dxfId="1701" priority="8335" operator="lessThan">
      <formula>0</formula>
    </cfRule>
  </conditionalFormatting>
  <conditionalFormatting sqref="F188">
    <cfRule type="cellIs" dxfId="1700" priority="8336" operator="greaterThan">
      <formula>70</formula>
    </cfRule>
  </conditionalFormatting>
  <conditionalFormatting sqref="G188">
    <cfRule type="cellIs" dxfId="1699" priority="8337" operator="lessThan">
      <formula>0</formula>
    </cfRule>
  </conditionalFormatting>
  <conditionalFormatting sqref="G188">
    <cfRule type="cellIs" dxfId="1698" priority="8338" operator="greaterThan">
      <formula>70</formula>
    </cfRule>
  </conditionalFormatting>
  <conditionalFormatting sqref="H188">
    <cfRule type="cellIs" dxfId="1697" priority="8339" operator="lessThan">
      <formula>0</formula>
    </cfRule>
  </conditionalFormatting>
  <conditionalFormatting sqref="H188">
    <cfRule type="cellIs" dxfId="1696" priority="8340" operator="greaterThan">
      <formula>70</formula>
    </cfRule>
  </conditionalFormatting>
  <conditionalFormatting sqref="I188">
    <cfRule type="cellIs" dxfId="1695" priority="8341" operator="lessThan">
      <formula>0</formula>
    </cfRule>
  </conditionalFormatting>
  <conditionalFormatting sqref="I188">
    <cfRule type="cellIs" dxfId="1694" priority="8342" operator="greaterThan">
      <formula>70</formula>
    </cfRule>
  </conditionalFormatting>
  <conditionalFormatting sqref="J188">
    <cfRule type="cellIs" dxfId="1693" priority="8343" operator="lessThan">
      <formula>0</formula>
    </cfRule>
  </conditionalFormatting>
  <conditionalFormatting sqref="J188">
    <cfRule type="cellIs" dxfId="1692" priority="8344" operator="greaterThan">
      <formula>70</formula>
    </cfRule>
  </conditionalFormatting>
  <conditionalFormatting sqref="K188">
    <cfRule type="cellIs" dxfId="1691" priority="8345" operator="lessThan">
      <formula>0</formula>
    </cfRule>
  </conditionalFormatting>
  <conditionalFormatting sqref="K188">
    <cfRule type="cellIs" dxfId="1690" priority="8346" operator="greaterThan">
      <formula>70</formula>
    </cfRule>
  </conditionalFormatting>
  <conditionalFormatting sqref="S188">
    <cfRule type="cellIs" dxfId="1689" priority="8347" operator="lessThan">
      <formula>0</formula>
    </cfRule>
  </conditionalFormatting>
  <conditionalFormatting sqref="S188">
    <cfRule type="cellIs" dxfId="1688" priority="8348" operator="greaterThan">
      <formula>70</formula>
    </cfRule>
  </conditionalFormatting>
  <conditionalFormatting sqref="T188">
    <cfRule type="cellIs" dxfId="1687" priority="8349" operator="lessThan">
      <formula>0</formula>
    </cfRule>
  </conditionalFormatting>
  <conditionalFormatting sqref="T188">
    <cfRule type="cellIs" dxfId="1686" priority="8350" operator="greaterThan">
      <formula>30</formula>
    </cfRule>
  </conditionalFormatting>
  <conditionalFormatting sqref="C189">
    <cfRule type="cellIs" dxfId="1685" priority="8351" operator="lessThan">
      <formula>0</formula>
    </cfRule>
  </conditionalFormatting>
  <conditionalFormatting sqref="C189">
    <cfRule type="cellIs" dxfId="1684" priority="8352" operator="greaterThan">
      <formula>100</formula>
    </cfRule>
  </conditionalFormatting>
  <conditionalFormatting sqref="F189">
    <cfRule type="cellIs" dxfId="1683" priority="8353" operator="lessThan">
      <formula>0</formula>
    </cfRule>
  </conditionalFormatting>
  <conditionalFormatting sqref="F189">
    <cfRule type="cellIs" dxfId="1682" priority="8354" operator="greaterThan">
      <formula>70</formula>
    </cfRule>
  </conditionalFormatting>
  <conditionalFormatting sqref="G189">
    <cfRule type="cellIs" dxfId="1681" priority="8355" operator="lessThan">
      <formula>0</formula>
    </cfRule>
  </conditionalFormatting>
  <conditionalFormatting sqref="G189">
    <cfRule type="cellIs" dxfId="1680" priority="8356" operator="greaterThan">
      <formula>70</formula>
    </cfRule>
  </conditionalFormatting>
  <conditionalFormatting sqref="H189">
    <cfRule type="cellIs" dxfId="1679" priority="8357" operator="lessThan">
      <formula>0</formula>
    </cfRule>
  </conditionalFormatting>
  <conditionalFormatting sqref="H189">
    <cfRule type="cellIs" dxfId="1678" priority="8358" operator="greaterThan">
      <formula>70</formula>
    </cfRule>
  </conditionalFormatting>
  <conditionalFormatting sqref="I189">
    <cfRule type="cellIs" dxfId="1677" priority="8359" operator="lessThan">
      <formula>0</formula>
    </cfRule>
  </conditionalFormatting>
  <conditionalFormatting sqref="I189">
    <cfRule type="cellIs" dxfId="1676" priority="8360" operator="greaterThan">
      <formula>70</formula>
    </cfRule>
  </conditionalFormatting>
  <conditionalFormatting sqref="J189">
    <cfRule type="cellIs" dxfId="1675" priority="8361" operator="lessThan">
      <formula>0</formula>
    </cfRule>
  </conditionalFormatting>
  <conditionalFormatting sqref="J189">
    <cfRule type="cellIs" dxfId="1674" priority="8362" operator="greaterThan">
      <formula>70</formula>
    </cfRule>
  </conditionalFormatting>
  <conditionalFormatting sqref="K189">
    <cfRule type="cellIs" dxfId="1673" priority="8363" operator="lessThan">
      <formula>0</formula>
    </cfRule>
  </conditionalFormatting>
  <conditionalFormatting sqref="K189">
    <cfRule type="cellIs" dxfId="1672" priority="8364" operator="greaterThan">
      <formula>70</formula>
    </cfRule>
  </conditionalFormatting>
  <conditionalFormatting sqref="S189">
    <cfRule type="cellIs" dxfId="1671" priority="8365" operator="lessThan">
      <formula>0</formula>
    </cfRule>
  </conditionalFormatting>
  <conditionalFormatting sqref="S189">
    <cfRule type="cellIs" dxfId="1670" priority="8366" operator="greaterThan">
      <formula>70</formula>
    </cfRule>
  </conditionalFormatting>
  <conditionalFormatting sqref="T189">
    <cfRule type="cellIs" dxfId="1669" priority="8367" operator="lessThan">
      <formula>0</formula>
    </cfRule>
  </conditionalFormatting>
  <conditionalFormatting sqref="T189">
    <cfRule type="cellIs" dxfId="1668" priority="8368" operator="greaterThan">
      <formula>30</formula>
    </cfRule>
  </conditionalFormatting>
  <conditionalFormatting sqref="C190">
    <cfRule type="cellIs" dxfId="1667" priority="8369" operator="lessThan">
      <formula>0</formula>
    </cfRule>
  </conditionalFormatting>
  <conditionalFormatting sqref="C190">
    <cfRule type="cellIs" dxfId="1666" priority="8370" operator="greaterThan">
      <formula>100</formula>
    </cfRule>
  </conditionalFormatting>
  <conditionalFormatting sqref="F190">
    <cfRule type="cellIs" dxfId="1665" priority="8371" operator="lessThan">
      <formula>0</formula>
    </cfRule>
  </conditionalFormatting>
  <conditionalFormatting sqref="F190">
    <cfRule type="cellIs" dxfId="1664" priority="8372" operator="greaterThan">
      <formula>70</formula>
    </cfRule>
  </conditionalFormatting>
  <conditionalFormatting sqref="G190">
    <cfRule type="cellIs" dxfId="1663" priority="8373" operator="lessThan">
      <formula>0</formula>
    </cfRule>
  </conditionalFormatting>
  <conditionalFormatting sqref="G190">
    <cfRule type="cellIs" dxfId="1662" priority="8374" operator="greaterThan">
      <formula>70</formula>
    </cfRule>
  </conditionalFormatting>
  <conditionalFormatting sqref="H190">
    <cfRule type="cellIs" dxfId="1661" priority="8375" operator="lessThan">
      <formula>0</formula>
    </cfRule>
  </conditionalFormatting>
  <conditionalFormatting sqref="H190">
    <cfRule type="cellIs" dxfId="1660" priority="8376" operator="greaterThan">
      <formula>70</formula>
    </cfRule>
  </conditionalFormatting>
  <conditionalFormatting sqref="I190">
    <cfRule type="cellIs" dxfId="1659" priority="8377" operator="lessThan">
      <formula>0</formula>
    </cfRule>
  </conditionalFormatting>
  <conditionalFormatting sqref="I190">
    <cfRule type="cellIs" dxfId="1658" priority="8378" operator="greaterThan">
      <formula>70</formula>
    </cfRule>
  </conditionalFormatting>
  <conditionalFormatting sqref="J190">
    <cfRule type="cellIs" dxfId="1657" priority="8379" operator="lessThan">
      <formula>0</formula>
    </cfRule>
  </conditionalFormatting>
  <conditionalFormatting sqref="J190">
    <cfRule type="cellIs" dxfId="1656" priority="8380" operator="greaterThan">
      <formula>70</formula>
    </cfRule>
  </conditionalFormatting>
  <conditionalFormatting sqref="K190">
    <cfRule type="cellIs" dxfId="1655" priority="8381" operator="lessThan">
      <formula>0</formula>
    </cfRule>
  </conditionalFormatting>
  <conditionalFormatting sqref="K190">
    <cfRule type="cellIs" dxfId="1654" priority="8382" operator="greaterThan">
      <formula>70</formula>
    </cfRule>
  </conditionalFormatting>
  <conditionalFormatting sqref="S190">
    <cfRule type="cellIs" dxfId="1653" priority="8383" operator="lessThan">
      <formula>0</formula>
    </cfRule>
  </conditionalFormatting>
  <conditionalFormatting sqref="S190">
    <cfRule type="cellIs" dxfId="1652" priority="8384" operator="greaterThan">
      <formula>70</formula>
    </cfRule>
  </conditionalFormatting>
  <conditionalFormatting sqref="T190">
    <cfRule type="cellIs" dxfId="1651" priority="8385" operator="lessThan">
      <formula>0</formula>
    </cfRule>
  </conditionalFormatting>
  <conditionalFormatting sqref="T190">
    <cfRule type="cellIs" dxfId="1650" priority="8386" operator="greaterThan">
      <formula>30</formula>
    </cfRule>
  </conditionalFormatting>
  <conditionalFormatting sqref="C191">
    <cfRule type="cellIs" dxfId="1649" priority="8387" operator="lessThan">
      <formula>0</formula>
    </cfRule>
  </conditionalFormatting>
  <conditionalFormatting sqref="C191">
    <cfRule type="cellIs" dxfId="1648" priority="8388" operator="greaterThan">
      <formula>100</formula>
    </cfRule>
  </conditionalFormatting>
  <conditionalFormatting sqref="F191">
    <cfRule type="cellIs" dxfId="1647" priority="8389" operator="lessThan">
      <formula>0</formula>
    </cfRule>
  </conditionalFormatting>
  <conditionalFormatting sqref="F191">
    <cfRule type="cellIs" dxfId="1646" priority="8390" operator="greaterThan">
      <formula>70</formula>
    </cfRule>
  </conditionalFormatting>
  <conditionalFormatting sqref="G191">
    <cfRule type="cellIs" dxfId="1645" priority="8391" operator="lessThan">
      <formula>0</formula>
    </cfRule>
  </conditionalFormatting>
  <conditionalFormatting sqref="G191">
    <cfRule type="cellIs" dxfId="1644" priority="8392" operator="greaterThan">
      <formula>70</formula>
    </cfRule>
  </conditionalFormatting>
  <conditionalFormatting sqref="H191">
    <cfRule type="cellIs" dxfId="1643" priority="8393" operator="lessThan">
      <formula>0</formula>
    </cfRule>
  </conditionalFormatting>
  <conditionalFormatting sqref="H191">
    <cfRule type="cellIs" dxfId="1642" priority="8394" operator="greaterThan">
      <formula>70</formula>
    </cfRule>
  </conditionalFormatting>
  <conditionalFormatting sqref="I191">
    <cfRule type="cellIs" dxfId="1641" priority="8395" operator="lessThan">
      <formula>0</formula>
    </cfRule>
  </conditionalFormatting>
  <conditionalFormatting sqref="I191">
    <cfRule type="cellIs" dxfId="1640" priority="8396" operator="greaterThan">
      <formula>70</formula>
    </cfRule>
  </conditionalFormatting>
  <conditionalFormatting sqref="J191">
    <cfRule type="cellIs" dxfId="1639" priority="8397" operator="lessThan">
      <formula>0</formula>
    </cfRule>
  </conditionalFormatting>
  <conditionalFormatting sqref="J191">
    <cfRule type="cellIs" dxfId="1638" priority="8398" operator="greaterThan">
      <formula>70</formula>
    </cfRule>
  </conditionalFormatting>
  <conditionalFormatting sqref="K191">
    <cfRule type="cellIs" dxfId="1637" priority="8399" operator="lessThan">
      <formula>0</formula>
    </cfRule>
  </conditionalFormatting>
  <conditionalFormatting sqref="K191">
    <cfRule type="cellIs" dxfId="1636" priority="8400" operator="greaterThan">
      <formula>70</formula>
    </cfRule>
  </conditionalFormatting>
  <conditionalFormatting sqref="S191">
    <cfRule type="cellIs" dxfId="1635" priority="8401" operator="lessThan">
      <formula>0</formula>
    </cfRule>
  </conditionalFormatting>
  <conditionalFormatting sqref="S191">
    <cfRule type="cellIs" dxfId="1634" priority="8402" operator="greaterThan">
      <formula>70</formula>
    </cfRule>
  </conditionalFormatting>
  <conditionalFormatting sqref="T191">
    <cfRule type="cellIs" dxfId="1633" priority="8403" operator="lessThan">
      <formula>0</formula>
    </cfRule>
  </conditionalFormatting>
  <conditionalFormatting sqref="T191">
    <cfRule type="cellIs" dxfId="1632" priority="8404" operator="greaterThan">
      <formula>30</formula>
    </cfRule>
  </conditionalFormatting>
  <conditionalFormatting sqref="C192">
    <cfRule type="cellIs" dxfId="1631" priority="8405" operator="lessThan">
      <formula>0</formula>
    </cfRule>
  </conditionalFormatting>
  <conditionalFormatting sqref="C192">
    <cfRule type="cellIs" dxfId="1630" priority="8406" operator="greaterThan">
      <formula>100</formula>
    </cfRule>
  </conditionalFormatting>
  <conditionalFormatting sqref="F192">
    <cfRule type="cellIs" dxfId="1629" priority="8407" operator="lessThan">
      <formula>0</formula>
    </cfRule>
  </conditionalFormatting>
  <conditionalFormatting sqref="F192">
    <cfRule type="cellIs" dxfId="1628" priority="8408" operator="greaterThan">
      <formula>70</formula>
    </cfRule>
  </conditionalFormatting>
  <conditionalFormatting sqref="G192">
    <cfRule type="cellIs" dxfId="1627" priority="8409" operator="lessThan">
      <formula>0</formula>
    </cfRule>
  </conditionalFormatting>
  <conditionalFormatting sqref="G192">
    <cfRule type="cellIs" dxfId="1626" priority="8410" operator="greaterThan">
      <formula>70</formula>
    </cfRule>
  </conditionalFormatting>
  <conditionalFormatting sqref="H192">
    <cfRule type="cellIs" dxfId="1625" priority="8411" operator="lessThan">
      <formula>0</formula>
    </cfRule>
  </conditionalFormatting>
  <conditionalFormatting sqref="H192">
    <cfRule type="cellIs" dxfId="1624" priority="8412" operator="greaterThan">
      <formula>70</formula>
    </cfRule>
  </conditionalFormatting>
  <conditionalFormatting sqref="I192">
    <cfRule type="cellIs" dxfId="1623" priority="8413" operator="lessThan">
      <formula>0</formula>
    </cfRule>
  </conditionalFormatting>
  <conditionalFormatting sqref="I192">
    <cfRule type="cellIs" dxfId="1622" priority="8414" operator="greaterThan">
      <formula>70</formula>
    </cfRule>
  </conditionalFormatting>
  <conditionalFormatting sqref="J192">
    <cfRule type="cellIs" dxfId="1621" priority="8415" operator="lessThan">
      <formula>0</formula>
    </cfRule>
  </conditionalFormatting>
  <conditionalFormatting sqref="J192">
    <cfRule type="cellIs" dxfId="1620" priority="8416" operator="greaterThan">
      <formula>70</formula>
    </cfRule>
  </conditionalFormatting>
  <conditionalFormatting sqref="K192">
    <cfRule type="cellIs" dxfId="1619" priority="8417" operator="lessThan">
      <formula>0</formula>
    </cfRule>
  </conditionalFormatting>
  <conditionalFormatting sqref="K192">
    <cfRule type="cellIs" dxfId="1618" priority="8418" operator="greaterThan">
      <formula>70</formula>
    </cfRule>
  </conditionalFormatting>
  <conditionalFormatting sqref="S192">
    <cfRule type="cellIs" dxfId="1617" priority="8419" operator="lessThan">
      <formula>0</formula>
    </cfRule>
  </conditionalFormatting>
  <conditionalFormatting sqref="S192">
    <cfRule type="cellIs" dxfId="1616" priority="8420" operator="greaterThan">
      <formula>70</formula>
    </cfRule>
  </conditionalFormatting>
  <conditionalFormatting sqref="T192">
    <cfRule type="cellIs" dxfId="1615" priority="8421" operator="lessThan">
      <formula>0</formula>
    </cfRule>
  </conditionalFormatting>
  <conditionalFormatting sqref="T192">
    <cfRule type="cellIs" dxfId="1614" priority="8422" operator="greaterThan">
      <formula>30</formula>
    </cfRule>
  </conditionalFormatting>
  <conditionalFormatting sqref="C193">
    <cfRule type="cellIs" dxfId="1613" priority="8423" operator="lessThan">
      <formula>0</formula>
    </cfRule>
  </conditionalFormatting>
  <conditionalFormatting sqref="C193">
    <cfRule type="cellIs" dxfId="1612" priority="8424" operator="greaterThan">
      <formula>100</formula>
    </cfRule>
  </conditionalFormatting>
  <conditionalFormatting sqref="F193">
    <cfRule type="cellIs" dxfId="1611" priority="8425" operator="lessThan">
      <formula>0</formula>
    </cfRule>
  </conditionalFormatting>
  <conditionalFormatting sqref="F193">
    <cfRule type="cellIs" dxfId="1610" priority="8426" operator="greaterThan">
      <formula>70</formula>
    </cfRule>
  </conditionalFormatting>
  <conditionalFormatting sqref="G193">
    <cfRule type="cellIs" dxfId="1609" priority="8427" operator="lessThan">
      <formula>0</formula>
    </cfRule>
  </conditionalFormatting>
  <conditionalFormatting sqref="G193">
    <cfRule type="cellIs" dxfId="1608" priority="8428" operator="greaterThan">
      <formula>70</formula>
    </cfRule>
  </conditionalFormatting>
  <conditionalFormatting sqref="H193">
    <cfRule type="cellIs" dxfId="1607" priority="8429" operator="lessThan">
      <formula>0</formula>
    </cfRule>
  </conditionalFormatting>
  <conditionalFormatting sqref="H193">
    <cfRule type="cellIs" dxfId="1606" priority="8430" operator="greaterThan">
      <formula>70</formula>
    </cfRule>
  </conditionalFormatting>
  <conditionalFormatting sqref="I193">
    <cfRule type="cellIs" dxfId="1605" priority="8431" operator="lessThan">
      <formula>0</formula>
    </cfRule>
  </conditionalFormatting>
  <conditionalFormatting sqref="I193">
    <cfRule type="cellIs" dxfId="1604" priority="8432" operator="greaterThan">
      <formula>70</formula>
    </cfRule>
  </conditionalFormatting>
  <conditionalFormatting sqref="J193">
    <cfRule type="cellIs" dxfId="1603" priority="8433" operator="lessThan">
      <formula>0</formula>
    </cfRule>
  </conditionalFormatting>
  <conditionalFormatting sqref="J193">
    <cfRule type="cellIs" dxfId="1602" priority="8434" operator="greaterThan">
      <formula>70</formula>
    </cfRule>
  </conditionalFormatting>
  <conditionalFormatting sqref="K193">
    <cfRule type="cellIs" dxfId="1601" priority="8435" operator="lessThan">
      <formula>0</formula>
    </cfRule>
  </conditionalFormatting>
  <conditionalFormatting sqref="K193">
    <cfRule type="cellIs" dxfId="1600" priority="8436" operator="greaterThan">
      <formula>70</formula>
    </cfRule>
  </conditionalFormatting>
  <conditionalFormatting sqref="S193">
    <cfRule type="cellIs" dxfId="1599" priority="8437" operator="lessThan">
      <formula>0</formula>
    </cfRule>
  </conditionalFormatting>
  <conditionalFormatting sqref="S193">
    <cfRule type="cellIs" dxfId="1598" priority="8438" operator="greaterThan">
      <formula>70</formula>
    </cfRule>
  </conditionalFormatting>
  <conditionalFormatting sqref="T193">
    <cfRule type="cellIs" dxfId="1597" priority="8439" operator="lessThan">
      <formula>0</formula>
    </cfRule>
  </conditionalFormatting>
  <conditionalFormatting sqref="T193">
    <cfRule type="cellIs" dxfId="1596" priority="8440" operator="greaterThan">
      <formula>30</formula>
    </cfRule>
  </conditionalFormatting>
  <conditionalFormatting sqref="C194">
    <cfRule type="cellIs" dxfId="1595" priority="8441" operator="lessThan">
      <formula>0</formula>
    </cfRule>
  </conditionalFormatting>
  <conditionalFormatting sqref="C194">
    <cfRule type="cellIs" dxfId="1594" priority="8442" operator="greaterThan">
      <formula>100</formula>
    </cfRule>
  </conditionalFormatting>
  <conditionalFormatting sqref="F194">
    <cfRule type="cellIs" dxfId="1593" priority="8443" operator="lessThan">
      <formula>0</formula>
    </cfRule>
  </conditionalFormatting>
  <conditionalFormatting sqref="F194">
    <cfRule type="cellIs" dxfId="1592" priority="8444" operator="greaterThan">
      <formula>70</formula>
    </cfRule>
  </conditionalFormatting>
  <conditionalFormatting sqref="G194">
    <cfRule type="cellIs" dxfId="1591" priority="8445" operator="lessThan">
      <formula>0</formula>
    </cfRule>
  </conditionalFormatting>
  <conditionalFormatting sqref="G194">
    <cfRule type="cellIs" dxfId="1590" priority="8446" operator="greaterThan">
      <formula>70</formula>
    </cfRule>
  </conditionalFormatting>
  <conditionalFormatting sqref="H194">
    <cfRule type="cellIs" dxfId="1589" priority="8447" operator="lessThan">
      <formula>0</formula>
    </cfRule>
  </conditionalFormatting>
  <conditionalFormatting sqref="H194">
    <cfRule type="cellIs" dxfId="1588" priority="8448" operator="greaterThan">
      <formula>70</formula>
    </cfRule>
  </conditionalFormatting>
  <conditionalFormatting sqref="I194">
    <cfRule type="cellIs" dxfId="1587" priority="8449" operator="lessThan">
      <formula>0</formula>
    </cfRule>
  </conditionalFormatting>
  <conditionalFormatting sqref="I194">
    <cfRule type="cellIs" dxfId="1586" priority="8450" operator="greaterThan">
      <formula>70</formula>
    </cfRule>
  </conditionalFormatting>
  <conditionalFormatting sqref="J194">
    <cfRule type="cellIs" dxfId="1585" priority="8451" operator="lessThan">
      <formula>0</formula>
    </cfRule>
  </conditionalFormatting>
  <conditionalFormatting sqref="J194">
    <cfRule type="cellIs" dxfId="1584" priority="8452" operator="greaterThan">
      <formula>70</formula>
    </cfRule>
  </conditionalFormatting>
  <conditionalFormatting sqref="K194">
    <cfRule type="cellIs" dxfId="1583" priority="8453" operator="lessThan">
      <formula>0</formula>
    </cfRule>
  </conditionalFormatting>
  <conditionalFormatting sqref="K194">
    <cfRule type="cellIs" dxfId="1582" priority="8454" operator="greaterThan">
      <formula>70</formula>
    </cfRule>
  </conditionalFormatting>
  <conditionalFormatting sqref="S194">
    <cfRule type="cellIs" dxfId="1581" priority="8455" operator="lessThan">
      <formula>0</formula>
    </cfRule>
  </conditionalFormatting>
  <conditionalFormatting sqref="S194">
    <cfRule type="cellIs" dxfId="1580" priority="8456" operator="greaterThan">
      <formula>70</formula>
    </cfRule>
  </conditionalFormatting>
  <conditionalFormatting sqref="T194">
    <cfRule type="cellIs" dxfId="1579" priority="8457" operator="lessThan">
      <formula>0</formula>
    </cfRule>
  </conditionalFormatting>
  <conditionalFormatting sqref="T194">
    <cfRule type="cellIs" dxfId="1578" priority="8458" operator="greaterThan">
      <formula>30</formula>
    </cfRule>
  </conditionalFormatting>
  <conditionalFormatting sqref="C195">
    <cfRule type="cellIs" dxfId="1577" priority="8459" operator="lessThan">
      <formula>0</formula>
    </cfRule>
  </conditionalFormatting>
  <conditionalFormatting sqref="C195">
    <cfRule type="cellIs" dxfId="1576" priority="8460" operator="greaterThan">
      <formula>100</formula>
    </cfRule>
  </conditionalFormatting>
  <conditionalFormatting sqref="F195">
    <cfRule type="cellIs" dxfId="1575" priority="8461" operator="lessThan">
      <formula>0</formula>
    </cfRule>
  </conditionalFormatting>
  <conditionalFormatting sqref="F195">
    <cfRule type="cellIs" dxfId="1574" priority="8462" operator="greaterThan">
      <formula>70</formula>
    </cfRule>
  </conditionalFormatting>
  <conditionalFormatting sqref="G195">
    <cfRule type="cellIs" dxfId="1573" priority="8463" operator="lessThan">
      <formula>0</formula>
    </cfRule>
  </conditionalFormatting>
  <conditionalFormatting sqref="G195">
    <cfRule type="cellIs" dxfId="1572" priority="8464" operator="greaterThan">
      <formula>70</formula>
    </cfRule>
  </conditionalFormatting>
  <conditionalFormatting sqref="H195">
    <cfRule type="cellIs" dxfId="1571" priority="8465" operator="lessThan">
      <formula>0</formula>
    </cfRule>
  </conditionalFormatting>
  <conditionalFormatting sqref="H195">
    <cfRule type="cellIs" dxfId="1570" priority="8466" operator="greaterThan">
      <formula>70</formula>
    </cfRule>
  </conditionalFormatting>
  <conditionalFormatting sqref="I195">
    <cfRule type="cellIs" dxfId="1569" priority="8467" operator="lessThan">
      <formula>0</formula>
    </cfRule>
  </conditionalFormatting>
  <conditionalFormatting sqref="I195">
    <cfRule type="cellIs" dxfId="1568" priority="8468" operator="greaterThan">
      <formula>70</formula>
    </cfRule>
  </conditionalFormatting>
  <conditionalFormatting sqref="J195">
    <cfRule type="cellIs" dxfId="1567" priority="8469" operator="lessThan">
      <formula>0</formula>
    </cfRule>
  </conditionalFormatting>
  <conditionalFormatting sqref="J195">
    <cfRule type="cellIs" dxfId="1566" priority="8470" operator="greaterThan">
      <formula>70</formula>
    </cfRule>
  </conditionalFormatting>
  <conditionalFormatting sqref="K195">
    <cfRule type="cellIs" dxfId="1565" priority="8471" operator="lessThan">
      <formula>0</formula>
    </cfRule>
  </conditionalFormatting>
  <conditionalFormatting sqref="K195">
    <cfRule type="cellIs" dxfId="1564" priority="8472" operator="greaterThan">
      <formula>70</formula>
    </cfRule>
  </conditionalFormatting>
  <conditionalFormatting sqref="S195">
    <cfRule type="cellIs" dxfId="1563" priority="8473" operator="lessThan">
      <formula>0</formula>
    </cfRule>
  </conditionalFormatting>
  <conditionalFormatting sqref="S195">
    <cfRule type="cellIs" dxfId="1562" priority="8474" operator="greaterThan">
      <formula>70</formula>
    </cfRule>
  </conditionalFormatting>
  <conditionalFormatting sqref="T195">
    <cfRule type="cellIs" dxfId="1561" priority="8475" operator="lessThan">
      <formula>0</formula>
    </cfRule>
  </conditionalFormatting>
  <conditionalFormatting sqref="T195">
    <cfRule type="cellIs" dxfId="1560" priority="8476" operator="greaterThan">
      <formula>30</formula>
    </cfRule>
  </conditionalFormatting>
  <conditionalFormatting sqref="C196">
    <cfRule type="cellIs" dxfId="1559" priority="8477" operator="lessThan">
      <formula>0</formula>
    </cfRule>
  </conditionalFormatting>
  <conditionalFormatting sqref="C196">
    <cfRule type="cellIs" dxfId="1558" priority="8478" operator="greaterThan">
      <formula>100</formula>
    </cfRule>
  </conditionalFormatting>
  <conditionalFormatting sqref="F196">
    <cfRule type="cellIs" dxfId="1557" priority="8479" operator="lessThan">
      <formula>0</formula>
    </cfRule>
  </conditionalFormatting>
  <conditionalFormatting sqref="F196">
    <cfRule type="cellIs" dxfId="1556" priority="8480" operator="greaterThan">
      <formula>70</formula>
    </cfRule>
  </conditionalFormatting>
  <conditionalFormatting sqref="G196">
    <cfRule type="cellIs" dxfId="1555" priority="8481" operator="lessThan">
      <formula>0</formula>
    </cfRule>
  </conditionalFormatting>
  <conditionalFormatting sqref="G196">
    <cfRule type="cellIs" dxfId="1554" priority="8482" operator="greaterThan">
      <formula>70</formula>
    </cfRule>
  </conditionalFormatting>
  <conditionalFormatting sqref="H196">
    <cfRule type="cellIs" dxfId="1553" priority="8483" operator="lessThan">
      <formula>0</formula>
    </cfRule>
  </conditionalFormatting>
  <conditionalFormatting sqref="H196">
    <cfRule type="cellIs" dxfId="1552" priority="8484" operator="greaterThan">
      <formula>70</formula>
    </cfRule>
  </conditionalFormatting>
  <conditionalFormatting sqref="I196">
    <cfRule type="cellIs" dxfId="1551" priority="8485" operator="lessThan">
      <formula>0</formula>
    </cfRule>
  </conditionalFormatting>
  <conditionalFormatting sqref="I196">
    <cfRule type="cellIs" dxfId="1550" priority="8486" operator="greaterThan">
      <formula>70</formula>
    </cfRule>
  </conditionalFormatting>
  <conditionalFormatting sqref="J196">
    <cfRule type="cellIs" dxfId="1549" priority="8487" operator="lessThan">
      <formula>0</formula>
    </cfRule>
  </conditionalFormatting>
  <conditionalFormatting sqref="J196">
    <cfRule type="cellIs" dxfId="1548" priority="8488" operator="greaterThan">
      <formula>70</formula>
    </cfRule>
  </conditionalFormatting>
  <conditionalFormatting sqref="K196">
    <cfRule type="cellIs" dxfId="1547" priority="8489" operator="lessThan">
      <formula>0</formula>
    </cfRule>
  </conditionalFormatting>
  <conditionalFormatting sqref="K196">
    <cfRule type="cellIs" dxfId="1546" priority="8490" operator="greaterThan">
      <formula>70</formula>
    </cfRule>
  </conditionalFormatting>
  <conditionalFormatting sqref="S196">
    <cfRule type="cellIs" dxfId="1545" priority="8491" operator="lessThan">
      <formula>0</formula>
    </cfRule>
  </conditionalFormatting>
  <conditionalFormatting sqref="S196">
    <cfRule type="cellIs" dxfId="1544" priority="8492" operator="greaterThan">
      <formula>70</formula>
    </cfRule>
  </conditionalFormatting>
  <conditionalFormatting sqref="T196">
    <cfRule type="cellIs" dxfId="1543" priority="8493" operator="lessThan">
      <formula>0</formula>
    </cfRule>
  </conditionalFormatting>
  <conditionalFormatting sqref="T196">
    <cfRule type="cellIs" dxfId="1542" priority="8494" operator="greaterThan">
      <formula>30</formula>
    </cfRule>
  </conditionalFormatting>
  <conditionalFormatting sqref="C197">
    <cfRule type="cellIs" dxfId="1541" priority="8495" operator="lessThan">
      <formula>0</formula>
    </cfRule>
  </conditionalFormatting>
  <conditionalFormatting sqref="C197">
    <cfRule type="cellIs" dxfId="1540" priority="8496" operator="greaterThan">
      <formula>100</formula>
    </cfRule>
  </conditionalFormatting>
  <conditionalFormatting sqref="F197">
    <cfRule type="cellIs" dxfId="1539" priority="8497" operator="lessThan">
      <formula>0</formula>
    </cfRule>
  </conditionalFormatting>
  <conditionalFormatting sqref="F197">
    <cfRule type="cellIs" dxfId="1538" priority="8498" operator="greaterThan">
      <formula>70</formula>
    </cfRule>
  </conditionalFormatting>
  <conditionalFormatting sqref="G197">
    <cfRule type="cellIs" dxfId="1537" priority="8499" operator="lessThan">
      <formula>0</formula>
    </cfRule>
  </conditionalFormatting>
  <conditionalFormatting sqref="G197">
    <cfRule type="cellIs" dxfId="1536" priority="8500" operator="greaterThan">
      <formula>70</formula>
    </cfRule>
  </conditionalFormatting>
  <conditionalFormatting sqref="H197">
    <cfRule type="cellIs" dxfId="1535" priority="8501" operator="lessThan">
      <formula>0</formula>
    </cfRule>
  </conditionalFormatting>
  <conditionalFormatting sqref="H197">
    <cfRule type="cellIs" dxfId="1534" priority="8502" operator="greaterThan">
      <formula>70</formula>
    </cfRule>
  </conditionalFormatting>
  <conditionalFormatting sqref="I197">
    <cfRule type="cellIs" dxfId="1533" priority="8503" operator="lessThan">
      <formula>0</formula>
    </cfRule>
  </conditionalFormatting>
  <conditionalFormatting sqref="I197">
    <cfRule type="cellIs" dxfId="1532" priority="8504" operator="greaterThan">
      <formula>70</formula>
    </cfRule>
  </conditionalFormatting>
  <conditionalFormatting sqref="J197">
    <cfRule type="cellIs" dxfId="1531" priority="8505" operator="lessThan">
      <formula>0</formula>
    </cfRule>
  </conditionalFormatting>
  <conditionalFormatting sqref="J197">
    <cfRule type="cellIs" dxfId="1530" priority="8506" operator="greaterThan">
      <formula>70</formula>
    </cfRule>
  </conditionalFormatting>
  <conditionalFormatting sqref="K197">
    <cfRule type="cellIs" dxfId="1529" priority="8507" operator="lessThan">
      <formula>0</formula>
    </cfRule>
  </conditionalFormatting>
  <conditionalFormatting sqref="K197">
    <cfRule type="cellIs" dxfId="1528" priority="8508" operator="greaterThan">
      <formula>70</formula>
    </cfRule>
  </conditionalFormatting>
  <conditionalFormatting sqref="S197">
    <cfRule type="cellIs" dxfId="1527" priority="8509" operator="lessThan">
      <formula>0</formula>
    </cfRule>
  </conditionalFormatting>
  <conditionalFormatting sqref="S197">
    <cfRule type="cellIs" dxfId="1526" priority="8510" operator="greaterThan">
      <formula>70</formula>
    </cfRule>
  </conditionalFormatting>
  <conditionalFormatting sqref="T197">
    <cfRule type="cellIs" dxfId="1525" priority="8511" operator="lessThan">
      <formula>0</formula>
    </cfRule>
  </conditionalFormatting>
  <conditionalFormatting sqref="T197">
    <cfRule type="cellIs" dxfId="1524" priority="8512" operator="greaterThan">
      <formula>30</formula>
    </cfRule>
  </conditionalFormatting>
  <conditionalFormatting sqref="C198">
    <cfRule type="cellIs" dxfId="1523" priority="8513" operator="lessThan">
      <formula>0</formula>
    </cfRule>
  </conditionalFormatting>
  <conditionalFormatting sqref="C198">
    <cfRule type="cellIs" dxfId="1522" priority="8514" operator="greaterThan">
      <formula>100</formula>
    </cfRule>
  </conditionalFormatting>
  <conditionalFormatting sqref="F198">
    <cfRule type="cellIs" dxfId="1521" priority="8515" operator="lessThan">
      <formula>0</formula>
    </cfRule>
  </conditionalFormatting>
  <conditionalFormatting sqref="F198">
    <cfRule type="cellIs" dxfId="1520" priority="8516" operator="greaterThan">
      <formula>70</formula>
    </cfRule>
  </conditionalFormatting>
  <conditionalFormatting sqref="G198">
    <cfRule type="cellIs" dxfId="1519" priority="8517" operator="lessThan">
      <formula>0</formula>
    </cfRule>
  </conditionalFormatting>
  <conditionalFormatting sqref="G198">
    <cfRule type="cellIs" dxfId="1518" priority="8518" operator="greaterThan">
      <formula>70</formula>
    </cfRule>
  </conditionalFormatting>
  <conditionalFormatting sqref="H198">
    <cfRule type="cellIs" dxfId="1517" priority="8519" operator="lessThan">
      <formula>0</formula>
    </cfRule>
  </conditionalFormatting>
  <conditionalFormatting sqref="H198">
    <cfRule type="cellIs" dxfId="1516" priority="8520" operator="greaterThan">
      <formula>70</formula>
    </cfRule>
  </conditionalFormatting>
  <conditionalFormatting sqref="I198">
    <cfRule type="cellIs" dxfId="1515" priority="8521" operator="lessThan">
      <formula>0</formula>
    </cfRule>
  </conditionalFormatting>
  <conditionalFormatting sqref="I198">
    <cfRule type="cellIs" dxfId="1514" priority="8522" operator="greaterThan">
      <formula>70</formula>
    </cfRule>
  </conditionalFormatting>
  <conditionalFormatting sqref="J198">
    <cfRule type="cellIs" dxfId="1513" priority="8523" operator="lessThan">
      <formula>0</formula>
    </cfRule>
  </conditionalFormatting>
  <conditionalFormatting sqref="J198">
    <cfRule type="cellIs" dxfId="1512" priority="8524" operator="greaterThan">
      <formula>70</formula>
    </cfRule>
  </conditionalFormatting>
  <conditionalFormatting sqref="K198">
    <cfRule type="cellIs" dxfId="1511" priority="8525" operator="lessThan">
      <formula>0</formula>
    </cfRule>
  </conditionalFormatting>
  <conditionalFormatting sqref="K198">
    <cfRule type="cellIs" dxfId="1510" priority="8526" operator="greaterThan">
      <formula>70</formula>
    </cfRule>
  </conditionalFormatting>
  <conditionalFormatting sqref="S198">
    <cfRule type="cellIs" dxfId="1509" priority="8527" operator="lessThan">
      <formula>0</formula>
    </cfRule>
  </conditionalFormatting>
  <conditionalFormatting sqref="S198">
    <cfRule type="cellIs" dxfId="1508" priority="8528" operator="greaterThan">
      <formula>70</formula>
    </cfRule>
  </conditionalFormatting>
  <conditionalFormatting sqref="T198">
    <cfRule type="cellIs" dxfId="1507" priority="8529" operator="lessThan">
      <formula>0</formula>
    </cfRule>
  </conditionalFormatting>
  <conditionalFormatting sqref="T198">
    <cfRule type="cellIs" dxfId="1506" priority="8530" operator="greaterThan">
      <formula>30</formula>
    </cfRule>
  </conditionalFormatting>
  <conditionalFormatting sqref="C199">
    <cfRule type="cellIs" dxfId="1505" priority="8531" operator="lessThan">
      <formula>0</formula>
    </cfRule>
  </conditionalFormatting>
  <conditionalFormatting sqref="C199">
    <cfRule type="cellIs" dxfId="1504" priority="8532" operator="greaterThan">
      <formula>100</formula>
    </cfRule>
  </conditionalFormatting>
  <conditionalFormatting sqref="F199">
    <cfRule type="cellIs" dxfId="1503" priority="8533" operator="lessThan">
      <formula>0</formula>
    </cfRule>
  </conditionalFormatting>
  <conditionalFormatting sqref="F199">
    <cfRule type="cellIs" dxfId="1502" priority="8534" operator="greaterThan">
      <formula>70</formula>
    </cfRule>
  </conditionalFormatting>
  <conditionalFormatting sqref="G199">
    <cfRule type="cellIs" dxfId="1501" priority="8535" operator="lessThan">
      <formula>0</formula>
    </cfRule>
  </conditionalFormatting>
  <conditionalFormatting sqref="G199">
    <cfRule type="cellIs" dxfId="1500" priority="8536" operator="greaterThan">
      <formula>70</formula>
    </cfRule>
  </conditionalFormatting>
  <conditionalFormatting sqref="H199">
    <cfRule type="cellIs" dxfId="1499" priority="8537" operator="lessThan">
      <formula>0</formula>
    </cfRule>
  </conditionalFormatting>
  <conditionalFormatting sqref="H199">
    <cfRule type="cellIs" dxfId="1498" priority="8538" operator="greaterThan">
      <formula>70</formula>
    </cfRule>
  </conditionalFormatting>
  <conditionalFormatting sqref="I199">
    <cfRule type="cellIs" dxfId="1497" priority="8539" operator="lessThan">
      <formula>0</formula>
    </cfRule>
  </conditionalFormatting>
  <conditionalFormatting sqref="I199">
    <cfRule type="cellIs" dxfId="1496" priority="8540" operator="greaterThan">
      <formula>70</formula>
    </cfRule>
  </conditionalFormatting>
  <conditionalFormatting sqref="J199">
    <cfRule type="cellIs" dxfId="1495" priority="8541" operator="lessThan">
      <formula>0</formula>
    </cfRule>
  </conditionalFormatting>
  <conditionalFormatting sqref="J199">
    <cfRule type="cellIs" dxfId="1494" priority="8542" operator="greaterThan">
      <formula>70</formula>
    </cfRule>
  </conditionalFormatting>
  <conditionalFormatting sqref="K199">
    <cfRule type="cellIs" dxfId="1493" priority="8543" operator="lessThan">
      <formula>0</formula>
    </cfRule>
  </conditionalFormatting>
  <conditionalFormatting sqref="K199">
    <cfRule type="cellIs" dxfId="1492" priority="8544" operator="greaterThan">
      <formula>70</formula>
    </cfRule>
  </conditionalFormatting>
  <conditionalFormatting sqref="S199">
    <cfRule type="cellIs" dxfId="1491" priority="8545" operator="lessThan">
      <formula>0</formula>
    </cfRule>
  </conditionalFormatting>
  <conditionalFormatting sqref="S199">
    <cfRule type="cellIs" dxfId="1490" priority="8546" operator="greaterThan">
      <formula>70</formula>
    </cfRule>
  </conditionalFormatting>
  <conditionalFormatting sqref="T199">
    <cfRule type="cellIs" dxfId="1489" priority="8547" operator="lessThan">
      <formula>0</formula>
    </cfRule>
  </conditionalFormatting>
  <conditionalFormatting sqref="T199">
    <cfRule type="cellIs" dxfId="1488" priority="8548" operator="greaterThan">
      <formula>30</formula>
    </cfRule>
  </conditionalFormatting>
  <conditionalFormatting sqref="C200">
    <cfRule type="cellIs" dxfId="1487" priority="8549" operator="lessThan">
      <formula>0</formula>
    </cfRule>
  </conditionalFormatting>
  <conditionalFormatting sqref="C200">
    <cfRule type="cellIs" dxfId="1486" priority="8550" operator="greaterThan">
      <formula>100</formula>
    </cfRule>
  </conditionalFormatting>
  <conditionalFormatting sqref="F200">
    <cfRule type="cellIs" dxfId="1485" priority="8551" operator="lessThan">
      <formula>0</formula>
    </cfRule>
  </conditionalFormatting>
  <conditionalFormatting sqref="F200">
    <cfRule type="cellIs" dxfId="1484" priority="8552" operator="greaterThan">
      <formula>70</formula>
    </cfRule>
  </conditionalFormatting>
  <conditionalFormatting sqref="G200">
    <cfRule type="cellIs" dxfId="1483" priority="8553" operator="lessThan">
      <formula>0</formula>
    </cfRule>
  </conditionalFormatting>
  <conditionalFormatting sqref="G200">
    <cfRule type="cellIs" dxfId="1482" priority="8554" operator="greaterThan">
      <formula>70</formula>
    </cfRule>
  </conditionalFormatting>
  <conditionalFormatting sqref="H200">
    <cfRule type="cellIs" dxfId="1481" priority="8555" operator="lessThan">
      <formula>0</formula>
    </cfRule>
  </conditionalFormatting>
  <conditionalFormatting sqref="H200">
    <cfRule type="cellIs" dxfId="1480" priority="8556" operator="greaterThan">
      <formula>70</formula>
    </cfRule>
  </conditionalFormatting>
  <conditionalFormatting sqref="I200">
    <cfRule type="cellIs" dxfId="1479" priority="8557" operator="lessThan">
      <formula>0</formula>
    </cfRule>
  </conditionalFormatting>
  <conditionalFormatting sqref="I200">
    <cfRule type="cellIs" dxfId="1478" priority="8558" operator="greaterThan">
      <formula>70</formula>
    </cfRule>
  </conditionalFormatting>
  <conditionalFormatting sqref="J200">
    <cfRule type="cellIs" dxfId="1477" priority="8559" operator="lessThan">
      <formula>0</formula>
    </cfRule>
  </conditionalFormatting>
  <conditionalFormatting sqref="J200">
    <cfRule type="cellIs" dxfId="1476" priority="8560" operator="greaterThan">
      <formula>70</formula>
    </cfRule>
  </conditionalFormatting>
  <conditionalFormatting sqref="K200">
    <cfRule type="cellIs" dxfId="1475" priority="8561" operator="lessThan">
      <formula>0</formula>
    </cfRule>
  </conditionalFormatting>
  <conditionalFormatting sqref="K200">
    <cfRule type="cellIs" dxfId="1474" priority="8562" operator="greaterThan">
      <formula>70</formula>
    </cfRule>
  </conditionalFormatting>
  <conditionalFormatting sqref="S200">
    <cfRule type="cellIs" dxfId="1473" priority="8563" operator="lessThan">
      <formula>0</formula>
    </cfRule>
  </conditionalFormatting>
  <conditionalFormatting sqref="S200">
    <cfRule type="cellIs" dxfId="1472" priority="8564" operator="greaterThan">
      <formula>70</formula>
    </cfRule>
  </conditionalFormatting>
  <conditionalFormatting sqref="T200">
    <cfRule type="cellIs" dxfId="1471" priority="8565" operator="lessThan">
      <formula>0</formula>
    </cfRule>
  </conditionalFormatting>
  <conditionalFormatting sqref="T200">
    <cfRule type="cellIs" dxfId="1470" priority="8566" operator="greaterThan">
      <formula>30</formula>
    </cfRule>
  </conditionalFormatting>
  <conditionalFormatting sqref="C201">
    <cfRule type="cellIs" dxfId="1469" priority="8567" operator="lessThan">
      <formula>0</formula>
    </cfRule>
  </conditionalFormatting>
  <conditionalFormatting sqref="C201">
    <cfRule type="cellIs" dxfId="1468" priority="8568" operator="greaterThan">
      <formula>100</formula>
    </cfRule>
  </conditionalFormatting>
  <conditionalFormatting sqref="F201">
    <cfRule type="cellIs" dxfId="1467" priority="8569" operator="lessThan">
      <formula>0</formula>
    </cfRule>
  </conditionalFormatting>
  <conditionalFormatting sqref="F201">
    <cfRule type="cellIs" dxfId="1466" priority="8570" operator="greaterThan">
      <formula>70</formula>
    </cfRule>
  </conditionalFormatting>
  <conditionalFormatting sqref="G201">
    <cfRule type="cellIs" dxfId="1465" priority="8571" operator="lessThan">
      <formula>0</formula>
    </cfRule>
  </conditionalFormatting>
  <conditionalFormatting sqref="G201">
    <cfRule type="cellIs" dxfId="1464" priority="8572" operator="greaterThan">
      <formula>70</formula>
    </cfRule>
  </conditionalFormatting>
  <conditionalFormatting sqref="H201">
    <cfRule type="cellIs" dxfId="1463" priority="8573" operator="lessThan">
      <formula>0</formula>
    </cfRule>
  </conditionalFormatting>
  <conditionalFormatting sqref="H201">
    <cfRule type="cellIs" dxfId="1462" priority="8574" operator="greaterThan">
      <formula>70</formula>
    </cfRule>
  </conditionalFormatting>
  <conditionalFormatting sqref="I201">
    <cfRule type="cellIs" dxfId="1461" priority="8575" operator="lessThan">
      <formula>0</formula>
    </cfRule>
  </conditionalFormatting>
  <conditionalFormatting sqref="I201">
    <cfRule type="cellIs" dxfId="1460" priority="8576" operator="greaterThan">
      <formula>70</formula>
    </cfRule>
  </conditionalFormatting>
  <conditionalFormatting sqref="J201">
    <cfRule type="cellIs" dxfId="1459" priority="8577" operator="lessThan">
      <formula>0</formula>
    </cfRule>
  </conditionalFormatting>
  <conditionalFormatting sqref="J201">
    <cfRule type="cellIs" dxfId="1458" priority="8578" operator="greaterThan">
      <formula>70</formula>
    </cfRule>
  </conditionalFormatting>
  <conditionalFormatting sqref="K201">
    <cfRule type="cellIs" dxfId="1457" priority="8579" operator="lessThan">
      <formula>0</formula>
    </cfRule>
  </conditionalFormatting>
  <conditionalFormatting sqref="K201">
    <cfRule type="cellIs" dxfId="1456" priority="8580" operator="greaterThan">
      <formula>70</formula>
    </cfRule>
  </conditionalFormatting>
  <conditionalFormatting sqref="S201">
    <cfRule type="cellIs" dxfId="1455" priority="8581" operator="lessThan">
      <formula>0</formula>
    </cfRule>
  </conditionalFormatting>
  <conditionalFormatting sqref="S201">
    <cfRule type="cellIs" dxfId="1454" priority="8582" operator="greaterThan">
      <formula>70</formula>
    </cfRule>
  </conditionalFormatting>
  <conditionalFormatting sqref="T201">
    <cfRule type="cellIs" dxfId="1453" priority="8583" operator="lessThan">
      <formula>0</formula>
    </cfRule>
  </conditionalFormatting>
  <conditionalFormatting sqref="T201">
    <cfRule type="cellIs" dxfId="1452" priority="8584" operator="greaterThan">
      <formula>30</formula>
    </cfRule>
  </conditionalFormatting>
  <conditionalFormatting sqref="C202">
    <cfRule type="cellIs" dxfId="1451" priority="8585" operator="lessThan">
      <formula>0</formula>
    </cfRule>
  </conditionalFormatting>
  <conditionalFormatting sqref="C202">
    <cfRule type="cellIs" dxfId="1450" priority="8586" operator="greaterThan">
      <formula>100</formula>
    </cfRule>
  </conditionalFormatting>
  <conditionalFormatting sqref="F202">
    <cfRule type="cellIs" dxfId="1449" priority="8587" operator="lessThan">
      <formula>0</formula>
    </cfRule>
  </conditionalFormatting>
  <conditionalFormatting sqref="F202">
    <cfRule type="cellIs" dxfId="1448" priority="8588" operator="greaterThan">
      <formula>70</formula>
    </cfRule>
  </conditionalFormatting>
  <conditionalFormatting sqref="G202">
    <cfRule type="cellIs" dxfId="1447" priority="8589" operator="lessThan">
      <formula>0</formula>
    </cfRule>
  </conditionalFormatting>
  <conditionalFormatting sqref="G202">
    <cfRule type="cellIs" dxfId="1446" priority="8590" operator="greaterThan">
      <formula>70</formula>
    </cfRule>
  </conditionalFormatting>
  <conditionalFormatting sqref="H202">
    <cfRule type="cellIs" dxfId="1445" priority="8591" operator="lessThan">
      <formula>0</formula>
    </cfRule>
  </conditionalFormatting>
  <conditionalFormatting sqref="H202">
    <cfRule type="cellIs" dxfId="1444" priority="8592" operator="greaterThan">
      <formula>70</formula>
    </cfRule>
  </conditionalFormatting>
  <conditionalFormatting sqref="I202">
    <cfRule type="cellIs" dxfId="1443" priority="8593" operator="lessThan">
      <formula>0</formula>
    </cfRule>
  </conditionalFormatting>
  <conditionalFormatting sqref="I202">
    <cfRule type="cellIs" dxfId="1442" priority="8594" operator="greaterThan">
      <formula>70</formula>
    </cfRule>
  </conditionalFormatting>
  <conditionalFormatting sqref="J202">
    <cfRule type="cellIs" dxfId="1441" priority="8595" operator="lessThan">
      <formula>0</formula>
    </cfRule>
  </conditionalFormatting>
  <conditionalFormatting sqref="J202">
    <cfRule type="cellIs" dxfId="1440" priority="8596" operator="greaterThan">
      <formula>70</formula>
    </cfRule>
  </conditionalFormatting>
  <conditionalFormatting sqref="K202">
    <cfRule type="cellIs" dxfId="1439" priority="8597" operator="lessThan">
      <formula>0</formula>
    </cfRule>
  </conditionalFormatting>
  <conditionalFormatting sqref="K202">
    <cfRule type="cellIs" dxfId="1438" priority="8598" operator="greaterThan">
      <formula>70</formula>
    </cfRule>
  </conditionalFormatting>
  <conditionalFormatting sqref="S202">
    <cfRule type="cellIs" dxfId="1437" priority="8599" operator="lessThan">
      <formula>0</formula>
    </cfRule>
  </conditionalFormatting>
  <conditionalFormatting sqref="S202">
    <cfRule type="cellIs" dxfId="1436" priority="8600" operator="greaterThan">
      <formula>70</formula>
    </cfRule>
  </conditionalFormatting>
  <conditionalFormatting sqref="T202">
    <cfRule type="cellIs" dxfId="1435" priority="8601" operator="lessThan">
      <formula>0</formula>
    </cfRule>
  </conditionalFormatting>
  <conditionalFormatting sqref="T202">
    <cfRule type="cellIs" dxfId="1434" priority="8602" operator="greaterThan">
      <formula>30</formula>
    </cfRule>
  </conditionalFormatting>
  <conditionalFormatting sqref="C203">
    <cfRule type="cellIs" dxfId="1433" priority="8603" operator="lessThan">
      <formula>0</formula>
    </cfRule>
  </conditionalFormatting>
  <conditionalFormatting sqref="C203">
    <cfRule type="cellIs" dxfId="1432" priority="8604" operator="greaterThan">
      <formula>100</formula>
    </cfRule>
  </conditionalFormatting>
  <conditionalFormatting sqref="F203">
    <cfRule type="cellIs" dxfId="1431" priority="8605" operator="lessThan">
      <formula>0</formula>
    </cfRule>
  </conditionalFormatting>
  <conditionalFormatting sqref="F203">
    <cfRule type="cellIs" dxfId="1430" priority="8606" operator="greaterThan">
      <formula>70</formula>
    </cfRule>
  </conditionalFormatting>
  <conditionalFormatting sqref="G203">
    <cfRule type="cellIs" dxfId="1429" priority="8607" operator="lessThan">
      <formula>0</formula>
    </cfRule>
  </conditionalFormatting>
  <conditionalFormatting sqref="G203">
    <cfRule type="cellIs" dxfId="1428" priority="8608" operator="greaterThan">
      <formula>70</formula>
    </cfRule>
  </conditionalFormatting>
  <conditionalFormatting sqref="H203">
    <cfRule type="cellIs" dxfId="1427" priority="8609" operator="lessThan">
      <formula>0</formula>
    </cfRule>
  </conditionalFormatting>
  <conditionalFormatting sqref="H203">
    <cfRule type="cellIs" dxfId="1426" priority="8610" operator="greaterThan">
      <formula>70</formula>
    </cfRule>
  </conditionalFormatting>
  <conditionalFormatting sqref="I203">
    <cfRule type="cellIs" dxfId="1425" priority="8611" operator="lessThan">
      <formula>0</formula>
    </cfRule>
  </conditionalFormatting>
  <conditionalFormatting sqref="I203">
    <cfRule type="cellIs" dxfId="1424" priority="8612" operator="greaterThan">
      <formula>70</formula>
    </cfRule>
  </conditionalFormatting>
  <conditionalFormatting sqref="J203">
    <cfRule type="cellIs" dxfId="1423" priority="8613" operator="lessThan">
      <formula>0</formula>
    </cfRule>
  </conditionalFormatting>
  <conditionalFormatting sqref="J203">
    <cfRule type="cellIs" dxfId="1422" priority="8614" operator="greaterThan">
      <formula>70</formula>
    </cfRule>
  </conditionalFormatting>
  <conditionalFormatting sqref="K203">
    <cfRule type="cellIs" dxfId="1421" priority="8615" operator="lessThan">
      <formula>0</formula>
    </cfRule>
  </conditionalFormatting>
  <conditionalFormatting sqref="K203">
    <cfRule type="cellIs" dxfId="1420" priority="8616" operator="greaterThan">
      <formula>70</formula>
    </cfRule>
  </conditionalFormatting>
  <conditionalFormatting sqref="S203">
    <cfRule type="cellIs" dxfId="1419" priority="8617" operator="lessThan">
      <formula>0</formula>
    </cfRule>
  </conditionalFormatting>
  <conditionalFormatting sqref="S203">
    <cfRule type="cellIs" dxfId="1418" priority="8618" operator="greaterThan">
      <formula>70</formula>
    </cfRule>
  </conditionalFormatting>
  <conditionalFormatting sqref="T203">
    <cfRule type="cellIs" dxfId="1417" priority="8619" operator="lessThan">
      <formula>0</formula>
    </cfRule>
  </conditionalFormatting>
  <conditionalFormatting sqref="T203">
    <cfRule type="cellIs" dxfId="1416" priority="8620" operator="greaterThan">
      <formula>30</formula>
    </cfRule>
  </conditionalFormatting>
  <conditionalFormatting sqref="C204">
    <cfRule type="cellIs" dxfId="1415" priority="8621" operator="lessThan">
      <formula>0</formula>
    </cfRule>
  </conditionalFormatting>
  <conditionalFormatting sqref="C204">
    <cfRule type="cellIs" dxfId="1414" priority="8622" operator="greaterThan">
      <formula>100</formula>
    </cfRule>
  </conditionalFormatting>
  <conditionalFormatting sqref="F204">
    <cfRule type="cellIs" dxfId="1413" priority="8623" operator="lessThan">
      <formula>0</formula>
    </cfRule>
  </conditionalFormatting>
  <conditionalFormatting sqref="F204">
    <cfRule type="cellIs" dxfId="1412" priority="8624" operator="greaterThan">
      <formula>70</formula>
    </cfRule>
  </conditionalFormatting>
  <conditionalFormatting sqref="G204">
    <cfRule type="cellIs" dxfId="1411" priority="8625" operator="lessThan">
      <formula>0</formula>
    </cfRule>
  </conditionalFormatting>
  <conditionalFormatting sqref="G204">
    <cfRule type="cellIs" dxfId="1410" priority="8626" operator="greaterThan">
      <formula>70</formula>
    </cfRule>
  </conditionalFormatting>
  <conditionalFormatting sqref="H204">
    <cfRule type="cellIs" dxfId="1409" priority="8627" operator="lessThan">
      <formula>0</formula>
    </cfRule>
  </conditionalFormatting>
  <conditionalFormatting sqref="H204">
    <cfRule type="cellIs" dxfId="1408" priority="8628" operator="greaterThan">
      <formula>70</formula>
    </cfRule>
  </conditionalFormatting>
  <conditionalFormatting sqref="I204">
    <cfRule type="cellIs" dxfId="1407" priority="8629" operator="lessThan">
      <formula>0</formula>
    </cfRule>
  </conditionalFormatting>
  <conditionalFormatting sqref="I204">
    <cfRule type="cellIs" dxfId="1406" priority="8630" operator="greaterThan">
      <formula>70</formula>
    </cfRule>
  </conditionalFormatting>
  <conditionalFormatting sqref="J204">
    <cfRule type="cellIs" dxfId="1405" priority="8631" operator="lessThan">
      <formula>0</formula>
    </cfRule>
  </conditionalFormatting>
  <conditionalFormatting sqref="J204">
    <cfRule type="cellIs" dxfId="1404" priority="8632" operator="greaterThan">
      <formula>70</formula>
    </cfRule>
  </conditionalFormatting>
  <conditionalFormatting sqref="K204">
    <cfRule type="cellIs" dxfId="1403" priority="8633" operator="lessThan">
      <formula>0</formula>
    </cfRule>
  </conditionalFormatting>
  <conditionalFormatting sqref="K204">
    <cfRule type="cellIs" dxfId="1402" priority="8634" operator="greaterThan">
      <formula>70</formula>
    </cfRule>
  </conditionalFormatting>
  <conditionalFormatting sqref="S204">
    <cfRule type="cellIs" dxfId="1401" priority="8635" operator="lessThan">
      <formula>0</formula>
    </cfRule>
  </conditionalFormatting>
  <conditionalFormatting sqref="S204">
    <cfRule type="cellIs" dxfId="1400" priority="8636" operator="greaterThan">
      <formula>70</formula>
    </cfRule>
  </conditionalFormatting>
  <conditionalFormatting sqref="T204">
    <cfRule type="cellIs" dxfId="1399" priority="8637" operator="lessThan">
      <formula>0</formula>
    </cfRule>
  </conditionalFormatting>
  <conditionalFormatting sqref="T204">
    <cfRule type="cellIs" dxfId="1398" priority="8638" operator="greaterThan">
      <formula>30</formula>
    </cfRule>
  </conditionalFormatting>
  <conditionalFormatting sqref="C205">
    <cfRule type="cellIs" dxfId="1397" priority="8639" operator="lessThan">
      <formula>0</formula>
    </cfRule>
  </conditionalFormatting>
  <conditionalFormatting sqref="C205">
    <cfRule type="cellIs" dxfId="1396" priority="8640" operator="greaterThan">
      <formula>100</formula>
    </cfRule>
  </conditionalFormatting>
  <conditionalFormatting sqref="F205">
    <cfRule type="cellIs" dxfId="1395" priority="8641" operator="lessThan">
      <formula>0</formula>
    </cfRule>
  </conditionalFormatting>
  <conditionalFormatting sqref="F205">
    <cfRule type="cellIs" dxfId="1394" priority="8642" operator="greaterThan">
      <formula>70</formula>
    </cfRule>
  </conditionalFormatting>
  <conditionalFormatting sqref="G205">
    <cfRule type="cellIs" dxfId="1393" priority="8643" operator="lessThan">
      <formula>0</formula>
    </cfRule>
  </conditionalFormatting>
  <conditionalFormatting sqref="G205">
    <cfRule type="cellIs" dxfId="1392" priority="8644" operator="greaterThan">
      <formula>70</formula>
    </cfRule>
  </conditionalFormatting>
  <conditionalFormatting sqref="H205">
    <cfRule type="cellIs" dxfId="1391" priority="8645" operator="lessThan">
      <formula>0</formula>
    </cfRule>
  </conditionalFormatting>
  <conditionalFormatting sqref="H205">
    <cfRule type="cellIs" dxfId="1390" priority="8646" operator="greaterThan">
      <formula>70</formula>
    </cfRule>
  </conditionalFormatting>
  <conditionalFormatting sqref="I205">
    <cfRule type="cellIs" dxfId="1389" priority="8647" operator="lessThan">
      <formula>0</formula>
    </cfRule>
  </conditionalFormatting>
  <conditionalFormatting sqref="I205">
    <cfRule type="cellIs" dxfId="1388" priority="8648" operator="greaterThan">
      <formula>70</formula>
    </cfRule>
  </conditionalFormatting>
  <conditionalFormatting sqref="J205">
    <cfRule type="cellIs" dxfId="1387" priority="8649" operator="lessThan">
      <formula>0</formula>
    </cfRule>
  </conditionalFormatting>
  <conditionalFormatting sqref="J205">
    <cfRule type="cellIs" dxfId="1386" priority="8650" operator="greaterThan">
      <formula>70</formula>
    </cfRule>
  </conditionalFormatting>
  <conditionalFormatting sqref="K205">
    <cfRule type="cellIs" dxfId="1385" priority="8651" operator="lessThan">
      <formula>0</formula>
    </cfRule>
  </conditionalFormatting>
  <conditionalFormatting sqref="K205">
    <cfRule type="cellIs" dxfId="1384" priority="8652" operator="greaterThan">
      <formula>70</formula>
    </cfRule>
  </conditionalFormatting>
  <conditionalFormatting sqref="S205">
    <cfRule type="cellIs" dxfId="1383" priority="8653" operator="lessThan">
      <formula>0</formula>
    </cfRule>
  </conditionalFormatting>
  <conditionalFormatting sqref="S205">
    <cfRule type="cellIs" dxfId="1382" priority="8654" operator="greaterThan">
      <formula>70</formula>
    </cfRule>
  </conditionalFormatting>
  <conditionalFormatting sqref="T205">
    <cfRule type="cellIs" dxfId="1381" priority="8655" operator="lessThan">
      <formula>0</formula>
    </cfRule>
  </conditionalFormatting>
  <conditionalFormatting sqref="T205">
    <cfRule type="cellIs" dxfId="1380" priority="8656" operator="greaterThan">
      <formula>30</formula>
    </cfRule>
  </conditionalFormatting>
  <conditionalFormatting sqref="C206">
    <cfRule type="cellIs" dxfId="1379" priority="8657" operator="lessThan">
      <formula>0</formula>
    </cfRule>
  </conditionalFormatting>
  <conditionalFormatting sqref="C206">
    <cfRule type="cellIs" dxfId="1378" priority="8658" operator="greaterThan">
      <formula>100</formula>
    </cfRule>
  </conditionalFormatting>
  <conditionalFormatting sqref="F206">
    <cfRule type="cellIs" dxfId="1377" priority="8659" operator="lessThan">
      <formula>0</formula>
    </cfRule>
  </conditionalFormatting>
  <conditionalFormatting sqref="F206">
    <cfRule type="cellIs" dxfId="1376" priority="8660" operator="greaterThan">
      <formula>70</formula>
    </cfRule>
  </conditionalFormatting>
  <conditionalFormatting sqref="G206">
    <cfRule type="cellIs" dxfId="1375" priority="8661" operator="lessThan">
      <formula>0</formula>
    </cfRule>
  </conditionalFormatting>
  <conditionalFormatting sqref="G206">
    <cfRule type="cellIs" dxfId="1374" priority="8662" operator="greaterThan">
      <formula>70</formula>
    </cfRule>
  </conditionalFormatting>
  <conditionalFormatting sqref="H206">
    <cfRule type="cellIs" dxfId="1373" priority="8663" operator="lessThan">
      <formula>0</formula>
    </cfRule>
  </conditionalFormatting>
  <conditionalFormatting sqref="H206">
    <cfRule type="cellIs" dxfId="1372" priority="8664" operator="greaterThan">
      <formula>70</formula>
    </cfRule>
  </conditionalFormatting>
  <conditionalFormatting sqref="I206">
    <cfRule type="cellIs" dxfId="1371" priority="8665" operator="lessThan">
      <formula>0</formula>
    </cfRule>
  </conditionalFormatting>
  <conditionalFormatting sqref="I206">
    <cfRule type="cellIs" dxfId="1370" priority="8666" operator="greaterThan">
      <formula>70</formula>
    </cfRule>
  </conditionalFormatting>
  <conditionalFormatting sqref="J206">
    <cfRule type="cellIs" dxfId="1369" priority="8667" operator="lessThan">
      <formula>0</formula>
    </cfRule>
  </conditionalFormatting>
  <conditionalFormatting sqref="J206">
    <cfRule type="cellIs" dxfId="1368" priority="8668" operator="greaterThan">
      <formula>70</formula>
    </cfRule>
  </conditionalFormatting>
  <conditionalFormatting sqref="K206">
    <cfRule type="cellIs" dxfId="1367" priority="8669" operator="lessThan">
      <formula>0</formula>
    </cfRule>
  </conditionalFormatting>
  <conditionalFormatting sqref="K206">
    <cfRule type="cellIs" dxfId="1366" priority="8670" operator="greaterThan">
      <formula>70</formula>
    </cfRule>
  </conditionalFormatting>
  <conditionalFormatting sqref="S206">
    <cfRule type="cellIs" dxfId="1365" priority="8671" operator="lessThan">
      <formula>0</formula>
    </cfRule>
  </conditionalFormatting>
  <conditionalFormatting sqref="S206">
    <cfRule type="cellIs" dxfId="1364" priority="8672" operator="greaterThan">
      <formula>70</formula>
    </cfRule>
  </conditionalFormatting>
  <conditionalFormatting sqref="T206">
    <cfRule type="cellIs" dxfId="1363" priority="8673" operator="lessThan">
      <formula>0</formula>
    </cfRule>
  </conditionalFormatting>
  <conditionalFormatting sqref="T206">
    <cfRule type="cellIs" dxfId="1362" priority="8674" operator="greaterThan">
      <formula>30</formula>
    </cfRule>
  </conditionalFormatting>
  <conditionalFormatting sqref="C207">
    <cfRule type="cellIs" dxfId="1361" priority="8675" operator="lessThan">
      <formula>0</formula>
    </cfRule>
  </conditionalFormatting>
  <conditionalFormatting sqref="C207">
    <cfRule type="cellIs" dxfId="1360" priority="8676" operator="greaterThan">
      <formula>100</formula>
    </cfRule>
  </conditionalFormatting>
  <conditionalFormatting sqref="F207">
    <cfRule type="cellIs" dxfId="1359" priority="8677" operator="lessThan">
      <formula>0</formula>
    </cfRule>
  </conditionalFormatting>
  <conditionalFormatting sqref="F207">
    <cfRule type="cellIs" dxfId="1358" priority="8678" operator="greaterThan">
      <formula>70</formula>
    </cfRule>
  </conditionalFormatting>
  <conditionalFormatting sqref="G207">
    <cfRule type="cellIs" dxfId="1357" priority="8679" operator="lessThan">
      <formula>0</formula>
    </cfRule>
  </conditionalFormatting>
  <conditionalFormatting sqref="G207">
    <cfRule type="cellIs" dxfId="1356" priority="8680" operator="greaterThan">
      <formula>70</formula>
    </cfRule>
  </conditionalFormatting>
  <conditionalFormatting sqref="H207">
    <cfRule type="cellIs" dxfId="1355" priority="8681" operator="lessThan">
      <formula>0</formula>
    </cfRule>
  </conditionalFormatting>
  <conditionalFormatting sqref="H207">
    <cfRule type="cellIs" dxfId="1354" priority="8682" operator="greaterThan">
      <formula>70</formula>
    </cfRule>
  </conditionalFormatting>
  <conditionalFormatting sqref="I207">
    <cfRule type="cellIs" dxfId="1353" priority="8683" operator="lessThan">
      <formula>0</formula>
    </cfRule>
  </conditionalFormatting>
  <conditionalFormatting sqref="I207">
    <cfRule type="cellIs" dxfId="1352" priority="8684" operator="greaterThan">
      <formula>70</formula>
    </cfRule>
  </conditionalFormatting>
  <conditionalFormatting sqref="J207">
    <cfRule type="cellIs" dxfId="1351" priority="8685" operator="lessThan">
      <formula>0</formula>
    </cfRule>
  </conditionalFormatting>
  <conditionalFormatting sqref="J207">
    <cfRule type="cellIs" dxfId="1350" priority="8686" operator="greaterThan">
      <formula>70</formula>
    </cfRule>
  </conditionalFormatting>
  <conditionalFormatting sqref="K207">
    <cfRule type="cellIs" dxfId="1349" priority="8687" operator="lessThan">
      <formula>0</formula>
    </cfRule>
  </conditionalFormatting>
  <conditionalFormatting sqref="K207">
    <cfRule type="cellIs" dxfId="1348" priority="8688" operator="greaterThan">
      <formula>70</formula>
    </cfRule>
  </conditionalFormatting>
  <conditionalFormatting sqref="S207">
    <cfRule type="cellIs" dxfId="1347" priority="8689" operator="lessThan">
      <formula>0</formula>
    </cfRule>
  </conditionalFormatting>
  <conditionalFormatting sqref="S207">
    <cfRule type="cellIs" dxfId="1346" priority="8690" operator="greaterThan">
      <formula>70</formula>
    </cfRule>
  </conditionalFormatting>
  <conditionalFormatting sqref="T207">
    <cfRule type="cellIs" dxfId="1345" priority="8691" operator="lessThan">
      <formula>0</formula>
    </cfRule>
  </conditionalFormatting>
  <conditionalFormatting sqref="T207">
    <cfRule type="cellIs" dxfId="1344" priority="8692" operator="greaterThan">
      <formula>30</formula>
    </cfRule>
  </conditionalFormatting>
  <conditionalFormatting sqref="C208">
    <cfRule type="cellIs" dxfId="1343" priority="8693" operator="lessThan">
      <formula>0</formula>
    </cfRule>
  </conditionalFormatting>
  <conditionalFormatting sqref="C208">
    <cfRule type="cellIs" dxfId="1342" priority="8694" operator="greaterThan">
      <formula>100</formula>
    </cfRule>
  </conditionalFormatting>
  <conditionalFormatting sqref="F208">
    <cfRule type="cellIs" dxfId="1341" priority="8695" operator="lessThan">
      <formula>0</formula>
    </cfRule>
  </conditionalFormatting>
  <conditionalFormatting sqref="F208">
    <cfRule type="cellIs" dxfId="1340" priority="8696" operator="greaterThan">
      <formula>70</formula>
    </cfRule>
  </conditionalFormatting>
  <conditionalFormatting sqref="G208">
    <cfRule type="cellIs" dxfId="1339" priority="8697" operator="lessThan">
      <formula>0</formula>
    </cfRule>
  </conditionalFormatting>
  <conditionalFormatting sqref="G208">
    <cfRule type="cellIs" dxfId="1338" priority="8698" operator="greaterThan">
      <formula>70</formula>
    </cfRule>
  </conditionalFormatting>
  <conditionalFormatting sqref="H208">
    <cfRule type="cellIs" dxfId="1337" priority="8699" operator="lessThan">
      <formula>0</formula>
    </cfRule>
  </conditionalFormatting>
  <conditionalFormatting sqref="H208">
    <cfRule type="cellIs" dxfId="1336" priority="8700" operator="greaterThan">
      <formula>70</formula>
    </cfRule>
  </conditionalFormatting>
  <conditionalFormatting sqref="I208">
    <cfRule type="cellIs" dxfId="1335" priority="8701" operator="lessThan">
      <formula>0</formula>
    </cfRule>
  </conditionalFormatting>
  <conditionalFormatting sqref="I208">
    <cfRule type="cellIs" dxfId="1334" priority="8702" operator="greaterThan">
      <formula>70</formula>
    </cfRule>
  </conditionalFormatting>
  <conditionalFormatting sqref="J208">
    <cfRule type="cellIs" dxfId="1333" priority="8703" operator="lessThan">
      <formula>0</formula>
    </cfRule>
  </conditionalFormatting>
  <conditionalFormatting sqref="J208">
    <cfRule type="cellIs" dxfId="1332" priority="8704" operator="greaterThan">
      <formula>70</formula>
    </cfRule>
  </conditionalFormatting>
  <conditionalFormatting sqref="K208">
    <cfRule type="cellIs" dxfId="1331" priority="8705" operator="lessThan">
      <formula>0</formula>
    </cfRule>
  </conditionalFormatting>
  <conditionalFormatting sqref="K208">
    <cfRule type="cellIs" dxfId="1330" priority="8706" operator="greaterThan">
      <formula>70</formula>
    </cfRule>
  </conditionalFormatting>
  <conditionalFormatting sqref="S208">
    <cfRule type="cellIs" dxfId="1329" priority="8707" operator="lessThan">
      <formula>0</formula>
    </cfRule>
  </conditionalFormatting>
  <conditionalFormatting sqref="S208">
    <cfRule type="cellIs" dxfId="1328" priority="8708" operator="greaterThan">
      <formula>70</formula>
    </cfRule>
  </conditionalFormatting>
  <conditionalFormatting sqref="T208">
    <cfRule type="cellIs" dxfId="1327" priority="8709" operator="lessThan">
      <formula>0</formula>
    </cfRule>
  </conditionalFormatting>
  <conditionalFormatting sqref="T208">
    <cfRule type="cellIs" dxfId="1326" priority="8710" operator="greaterThan">
      <formula>30</formula>
    </cfRule>
  </conditionalFormatting>
  <conditionalFormatting sqref="C209">
    <cfRule type="cellIs" dxfId="1325" priority="8711" operator="lessThan">
      <formula>0</formula>
    </cfRule>
  </conditionalFormatting>
  <conditionalFormatting sqref="C209">
    <cfRule type="cellIs" dxfId="1324" priority="8712" operator="greaterThan">
      <formula>100</formula>
    </cfRule>
  </conditionalFormatting>
  <conditionalFormatting sqref="F209">
    <cfRule type="cellIs" dxfId="1323" priority="8713" operator="lessThan">
      <formula>0</formula>
    </cfRule>
  </conditionalFormatting>
  <conditionalFormatting sqref="F209">
    <cfRule type="cellIs" dxfId="1322" priority="8714" operator="greaterThan">
      <formula>70</formula>
    </cfRule>
  </conditionalFormatting>
  <conditionalFormatting sqref="G209">
    <cfRule type="cellIs" dxfId="1321" priority="8715" operator="lessThan">
      <formula>0</formula>
    </cfRule>
  </conditionalFormatting>
  <conditionalFormatting sqref="G209">
    <cfRule type="cellIs" dxfId="1320" priority="8716" operator="greaterThan">
      <formula>70</formula>
    </cfRule>
  </conditionalFormatting>
  <conditionalFormatting sqref="H209">
    <cfRule type="cellIs" dxfId="1319" priority="8717" operator="lessThan">
      <formula>0</formula>
    </cfRule>
  </conditionalFormatting>
  <conditionalFormatting sqref="H209">
    <cfRule type="cellIs" dxfId="1318" priority="8718" operator="greaterThan">
      <formula>70</formula>
    </cfRule>
  </conditionalFormatting>
  <conditionalFormatting sqref="I209">
    <cfRule type="cellIs" dxfId="1317" priority="8719" operator="lessThan">
      <formula>0</formula>
    </cfRule>
  </conditionalFormatting>
  <conditionalFormatting sqref="I209">
    <cfRule type="cellIs" dxfId="1316" priority="8720" operator="greaterThan">
      <formula>70</formula>
    </cfRule>
  </conditionalFormatting>
  <conditionalFormatting sqref="J209">
    <cfRule type="cellIs" dxfId="1315" priority="8721" operator="lessThan">
      <formula>0</formula>
    </cfRule>
  </conditionalFormatting>
  <conditionalFormatting sqref="J209">
    <cfRule type="cellIs" dxfId="1314" priority="8722" operator="greaterThan">
      <formula>70</formula>
    </cfRule>
  </conditionalFormatting>
  <conditionalFormatting sqref="K209">
    <cfRule type="cellIs" dxfId="1313" priority="8723" operator="lessThan">
      <formula>0</formula>
    </cfRule>
  </conditionalFormatting>
  <conditionalFormatting sqref="K209">
    <cfRule type="cellIs" dxfId="1312" priority="8724" operator="greaterThan">
      <formula>70</formula>
    </cfRule>
  </conditionalFormatting>
  <conditionalFormatting sqref="S209">
    <cfRule type="cellIs" dxfId="1311" priority="8725" operator="lessThan">
      <formula>0</formula>
    </cfRule>
  </conditionalFormatting>
  <conditionalFormatting sqref="S209">
    <cfRule type="cellIs" dxfId="1310" priority="8726" operator="greaterThan">
      <formula>70</formula>
    </cfRule>
  </conditionalFormatting>
  <conditionalFormatting sqref="T209">
    <cfRule type="cellIs" dxfId="1309" priority="8727" operator="lessThan">
      <formula>0</formula>
    </cfRule>
  </conditionalFormatting>
  <conditionalFormatting sqref="T209">
    <cfRule type="cellIs" dxfId="1308" priority="8728" operator="greaterThan">
      <formula>30</formula>
    </cfRule>
  </conditionalFormatting>
  <conditionalFormatting sqref="C210">
    <cfRule type="cellIs" dxfId="1307" priority="8729" operator="lessThan">
      <formula>0</formula>
    </cfRule>
  </conditionalFormatting>
  <conditionalFormatting sqref="C210">
    <cfRule type="cellIs" dxfId="1306" priority="8730" operator="greaterThan">
      <formula>100</formula>
    </cfRule>
  </conditionalFormatting>
  <conditionalFormatting sqref="F210">
    <cfRule type="cellIs" dxfId="1305" priority="8731" operator="lessThan">
      <formula>0</formula>
    </cfRule>
  </conditionalFormatting>
  <conditionalFormatting sqref="F210">
    <cfRule type="cellIs" dxfId="1304" priority="8732" operator="greaterThan">
      <formula>70</formula>
    </cfRule>
  </conditionalFormatting>
  <conditionalFormatting sqref="G210">
    <cfRule type="cellIs" dxfId="1303" priority="8733" operator="lessThan">
      <formula>0</formula>
    </cfRule>
  </conditionalFormatting>
  <conditionalFormatting sqref="G210">
    <cfRule type="cellIs" dxfId="1302" priority="8734" operator="greaterThan">
      <formula>70</formula>
    </cfRule>
  </conditionalFormatting>
  <conditionalFormatting sqref="H210">
    <cfRule type="cellIs" dxfId="1301" priority="8735" operator="lessThan">
      <formula>0</formula>
    </cfRule>
  </conditionalFormatting>
  <conditionalFormatting sqref="H210">
    <cfRule type="cellIs" dxfId="1300" priority="8736" operator="greaterThan">
      <formula>70</formula>
    </cfRule>
  </conditionalFormatting>
  <conditionalFormatting sqref="I210">
    <cfRule type="cellIs" dxfId="1299" priority="8737" operator="lessThan">
      <formula>0</formula>
    </cfRule>
  </conditionalFormatting>
  <conditionalFormatting sqref="I210">
    <cfRule type="cellIs" dxfId="1298" priority="8738" operator="greaterThan">
      <formula>70</formula>
    </cfRule>
  </conditionalFormatting>
  <conditionalFormatting sqref="J210">
    <cfRule type="cellIs" dxfId="1297" priority="8739" operator="lessThan">
      <formula>0</formula>
    </cfRule>
  </conditionalFormatting>
  <conditionalFormatting sqref="J210">
    <cfRule type="cellIs" dxfId="1296" priority="8740" operator="greaterThan">
      <formula>70</formula>
    </cfRule>
  </conditionalFormatting>
  <conditionalFormatting sqref="K210">
    <cfRule type="cellIs" dxfId="1295" priority="8741" operator="lessThan">
      <formula>0</formula>
    </cfRule>
  </conditionalFormatting>
  <conditionalFormatting sqref="K210">
    <cfRule type="cellIs" dxfId="1294" priority="8742" operator="greaterThan">
      <formula>70</formula>
    </cfRule>
  </conditionalFormatting>
  <conditionalFormatting sqref="S210">
    <cfRule type="cellIs" dxfId="1293" priority="8743" operator="lessThan">
      <formula>0</formula>
    </cfRule>
  </conditionalFormatting>
  <conditionalFormatting sqref="S210">
    <cfRule type="cellIs" dxfId="1292" priority="8744" operator="greaterThan">
      <formula>70</formula>
    </cfRule>
  </conditionalFormatting>
  <conditionalFormatting sqref="T210">
    <cfRule type="cellIs" dxfId="1291" priority="8745" operator="lessThan">
      <formula>0</formula>
    </cfRule>
  </conditionalFormatting>
  <conditionalFormatting sqref="T210">
    <cfRule type="cellIs" dxfId="1290" priority="8746" operator="greaterThan">
      <formula>30</formula>
    </cfRule>
  </conditionalFormatting>
  <conditionalFormatting sqref="C211">
    <cfRule type="cellIs" dxfId="1289" priority="8747" operator="lessThan">
      <formula>0</formula>
    </cfRule>
  </conditionalFormatting>
  <conditionalFormatting sqref="C211">
    <cfRule type="cellIs" dxfId="1288" priority="8748" operator="greaterThan">
      <formula>100</formula>
    </cfRule>
  </conditionalFormatting>
  <conditionalFormatting sqref="F211">
    <cfRule type="cellIs" dxfId="1287" priority="8749" operator="lessThan">
      <formula>0</formula>
    </cfRule>
  </conditionalFormatting>
  <conditionalFormatting sqref="F211">
    <cfRule type="cellIs" dxfId="1286" priority="8750" operator="greaterThan">
      <formula>70</formula>
    </cfRule>
  </conditionalFormatting>
  <conditionalFormatting sqref="G211">
    <cfRule type="cellIs" dxfId="1285" priority="8751" operator="lessThan">
      <formula>0</formula>
    </cfRule>
  </conditionalFormatting>
  <conditionalFormatting sqref="G211">
    <cfRule type="cellIs" dxfId="1284" priority="8752" operator="greaterThan">
      <formula>70</formula>
    </cfRule>
  </conditionalFormatting>
  <conditionalFormatting sqref="H211">
    <cfRule type="cellIs" dxfId="1283" priority="8753" operator="lessThan">
      <formula>0</formula>
    </cfRule>
  </conditionalFormatting>
  <conditionalFormatting sqref="H211">
    <cfRule type="cellIs" dxfId="1282" priority="8754" operator="greaterThan">
      <formula>70</formula>
    </cfRule>
  </conditionalFormatting>
  <conditionalFormatting sqref="I211">
    <cfRule type="cellIs" dxfId="1281" priority="8755" operator="lessThan">
      <formula>0</formula>
    </cfRule>
  </conditionalFormatting>
  <conditionalFormatting sqref="I211">
    <cfRule type="cellIs" dxfId="1280" priority="8756" operator="greaterThan">
      <formula>70</formula>
    </cfRule>
  </conditionalFormatting>
  <conditionalFormatting sqref="J211">
    <cfRule type="cellIs" dxfId="1279" priority="8757" operator="lessThan">
      <formula>0</formula>
    </cfRule>
  </conditionalFormatting>
  <conditionalFormatting sqref="J211">
    <cfRule type="cellIs" dxfId="1278" priority="8758" operator="greaterThan">
      <formula>70</formula>
    </cfRule>
  </conditionalFormatting>
  <conditionalFormatting sqref="K211">
    <cfRule type="cellIs" dxfId="1277" priority="8759" operator="lessThan">
      <formula>0</formula>
    </cfRule>
  </conditionalFormatting>
  <conditionalFormatting sqref="K211">
    <cfRule type="cellIs" dxfId="1276" priority="8760" operator="greaterThan">
      <formula>70</formula>
    </cfRule>
  </conditionalFormatting>
  <conditionalFormatting sqref="S211">
    <cfRule type="cellIs" dxfId="1275" priority="8761" operator="lessThan">
      <formula>0</formula>
    </cfRule>
  </conditionalFormatting>
  <conditionalFormatting sqref="S211">
    <cfRule type="cellIs" dxfId="1274" priority="8762" operator="greaterThan">
      <formula>70</formula>
    </cfRule>
  </conditionalFormatting>
  <conditionalFormatting sqref="T211">
    <cfRule type="cellIs" dxfId="1273" priority="8763" operator="lessThan">
      <formula>0</formula>
    </cfRule>
  </conditionalFormatting>
  <conditionalFormatting sqref="T211">
    <cfRule type="cellIs" dxfId="1272" priority="8764" operator="greaterThan">
      <formula>30</formula>
    </cfRule>
  </conditionalFormatting>
  <conditionalFormatting sqref="C212">
    <cfRule type="cellIs" dxfId="1271" priority="8765" operator="lessThan">
      <formula>0</formula>
    </cfRule>
  </conditionalFormatting>
  <conditionalFormatting sqref="C212">
    <cfRule type="cellIs" dxfId="1270" priority="8766" operator="greaterThan">
      <formula>100</formula>
    </cfRule>
  </conditionalFormatting>
  <conditionalFormatting sqref="F212">
    <cfRule type="cellIs" dxfId="1269" priority="8767" operator="lessThan">
      <formula>0</formula>
    </cfRule>
  </conditionalFormatting>
  <conditionalFormatting sqref="F212">
    <cfRule type="cellIs" dxfId="1268" priority="8768" operator="greaterThan">
      <formula>70</formula>
    </cfRule>
  </conditionalFormatting>
  <conditionalFormatting sqref="G212">
    <cfRule type="cellIs" dxfId="1267" priority="8769" operator="lessThan">
      <formula>0</formula>
    </cfRule>
  </conditionalFormatting>
  <conditionalFormatting sqref="G212">
    <cfRule type="cellIs" dxfId="1266" priority="8770" operator="greaterThan">
      <formula>70</formula>
    </cfRule>
  </conditionalFormatting>
  <conditionalFormatting sqref="H212">
    <cfRule type="cellIs" dxfId="1265" priority="8771" operator="lessThan">
      <formula>0</formula>
    </cfRule>
  </conditionalFormatting>
  <conditionalFormatting sqref="H212">
    <cfRule type="cellIs" dxfId="1264" priority="8772" operator="greaterThan">
      <formula>70</formula>
    </cfRule>
  </conditionalFormatting>
  <conditionalFormatting sqref="I212">
    <cfRule type="cellIs" dxfId="1263" priority="8773" operator="lessThan">
      <formula>0</formula>
    </cfRule>
  </conditionalFormatting>
  <conditionalFormatting sqref="I212">
    <cfRule type="cellIs" dxfId="1262" priority="8774" operator="greaterThan">
      <formula>70</formula>
    </cfRule>
  </conditionalFormatting>
  <conditionalFormatting sqref="J212">
    <cfRule type="cellIs" dxfId="1261" priority="8775" operator="lessThan">
      <formula>0</formula>
    </cfRule>
  </conditionalFormatting>
  <conditionalFormatting sqref="J212">
    <cfRule type="cellIs" dxfId="1260" priority="8776" operator="greaterThan">
      <formula>70</formula>
    </cfRule>
  </conditionalFormatting>
  <conditionalFormatting sqref="K212">
    <cfRule type="cellIs" dxfId="1259" priority="8777" operator="lessThan">
      <formula>0</formula>
    </cfRule>
  </conditionalFormatting>
  <conditionalFormatting sqref="K212">
    <cfRule type="cellIs" dxfId="1258" priority="8778" operator="greaterThan">
      <formula>70</formula>
    </cfRule>
  </conditionalFormatting>
  <conditionalFormatting sqref="S212">
    <cfRule type="cellIs" dxfId="1257" priority="8779" operator="lessThan">
      <formula>0</formula>
    </cfRule>
  </conditionalFormatting>
  <conditionalFormatting sqref="S212">
    <cfRule type="cellIs" dxfId="1256" priority="8780" operator="greaterThan">
      <formula>70</formula>
    </cfRule>
  </conditionalFormatting>
  <conditionalFormatting sqref="T212">
    <cfRule type="cellIs" dxfId="1255" priority="8781" operator="lessThan">
      <formula>0</formula>
    </cfRule>
  </conditionalFormatting>
  <conditionalFormatting sqref="T212">
    <cfRule type="cellIs" dxfId="1254" priority="8782" operator="greaterThan">
      <formula>30</formula>
    </cfRule>
  </conditionalFormatting>
  <conditionalFormatting sqref="C213">
    <cfRule type="cellIs" dxfId="1253" priority="8783" operator="lessThan">
      <formula>0</formula>
    </cfRule>
  </conditionalFormatting>
  <conditionalFormatting sqref="C213">
    <cfRule type="cellIs" dxfId="1252" priority="8784" operator="greaterThan">
      <formula>100</formula>
    </cfRule>
  </conditionalFormatting>
  <conditionalFormatting sqref="F213">
    <cfRule type="cellIs" dxfId="1251" priority="8785" operator="lessThan">
      <formula>0</formula>
    </cfRule>
  </conditionalFormatting>
  <conditionalFormatting sqref="F213">
    <cfRule type="cellIs" dxfId="1250" priority="8786" operator="greaterThan">
      <formula>70</formula>
    </cfRule>
  </conditionalFormatting>
  <conditionalFormatting sqref="G213">
    <cfRule type="cellIs" dxfId="1249" priority="8787" operator="lessThan">
      <formula>0</formula>
    </cfRule>
  </conditionalFormatting>
  <conditionalFormatting sqref="G213">
    <cfRule type="cellIs" dxfId="1248" priority="8788" operator="greaterThan">
      <formula>70</formula>
    </cfRule>
  </conditionalFormatting>
  <conditionalFormatting sqref="H213">
    <cfRule type="cellIs" dxfId="1247" priority="8789" operator="lessThan">
      <formula>0</formula>
    </cfRule>
  </conditionalFormatting>
  <conditionalFormatting sqref="H213">
    <cfRule type="cellIs" dxfId="1246" priority="8790" operator="greaterThan">
      <formula>70</formula>
    </cfRule>
  </conditionalFormatting>
  <conditionalFormatting sqref="I213">
    <cfRule type="cellIs" dxfId="1245" priority="8791" operator="lessThan">
      <formula>0</formula>
    </cfRule>
  </conditionalFormatting>
  <conditionalFormatting sqref="I213">
    <cfRule type="cellIs" dxfId="1244" priority="8792" operator="greaterThan">
      <formula>70</formula>
    </cfRule>
  </conditionalFormatting>
  <conditionalFormatting sqref="J213">
    <cfRule type="cellIs" dxfId="1243" priority="8793" operator="lessThan">
      <formula>0</formula>
    </cfRule>
  </conditionalFormatting>
  <conditionalFormatting sqref="J213">
    <cfRule type="cellIs" dxfId="1242" priority="8794" operator="greaterThan">
      <formula>70</formula>
    </cfRule>
  </conditionalFormatting>
  <conditionalFormatting sqref="K213">
    <cfRule type="cellIs" dxfId="1241" priority="8795" operator="lessThan">
      <formula>0</formula>
    </cfRule>
  </conditionalFormatting>
  <conditionalFormatting sqref="K213">
    <cfRule type="cellIs" dxfId="1240" priority="8796" operator="greaterThan">
      <formula>70</formula>
    </cfRule>
  </conditionalFormatting>
  <conditionalFormatting sqref="S213">
    <cfRule type="cellIs" dxfId="1239" priority="8797" operator="lessThan">
      <formula>0</formula>
    </cfRule>
  </conditionalFormatting>
  <conditionalFormatting sqref="S213">
    <cfRule type="cellIs" dxfId="1238" priority="8798" operator="greaterThan">
      <formula>70</formula>
    </cfRule>
  </conditionalFormatting>
  <conditionalFormatting sqref="T213">
    <cfRule type="cellIs" dxfId="1237" priority="8799" operator="lessThan">
      <formula>0</formula>
    </cfRule>
  </conditionalFormatting>
  <conditionalFormatting sqref="T213">
    <cfRule type="cellIs" dxfId="1236" priority="8800" operator="greaterThan">
      <formula>30</formula>
    </cfRule>
  </conditionalFormatting>
  <conditionalFormatting sqref="C214">
    <cfRule type="cellIs" dxfId="1235" priority="8801" operator="lessThan">
      <formula>0</formula>
    </cfRule>
  </conditionalFormatting>
  <conditionalFormatting sqref="C214">
    <cfRule type="cellIs" dxfId="1234" priority="8802" operator="greaterThan">
      <formula>100</formula>
    </cfRule>
  </conditionalFormatting>
  <conditionalFormatting sqref="F214">
    <cfRule type="cellIs" dxfId="1233" priority="8803" operator="lessThan">
      <formula>0</formula>
    </cfRule>
  </conditionalFormatting>
  <conditionalFormatting sqref="F214">
    <cfRule type="cellIs" dxfId="1232" priority="8804" operator="greaterThan">
      <formula>70</formula>
    </cfRule>
  </conditionalFormatting>
  <conditionalFormatting sqref="G214">
    <cfRule type="cellIs" dxfId="1231" priority="8805" operator="lessThan">
      <formula>0</formula>
    </cfRule>
  </conditionalFormatting>
  <conditionalFormatting sqref="G214">
    <cfRule type="cellIs" dxfId="1230" priority="8806" operator="greaterThan">
      <formula>70</formula>
    </cfRule>
  </conditionalFormatting>
  <conditionalFormatting sqref="H214">
    <cfRule type="cellIs" dxfId="1229" priority="8807" operator="lessThan">
      <formula>0</formula>
    </cfRule>
  </conditionalFormatting>
  <conditionalFormatting sqref="H214">
    <cfRule type="cellIs" dxfId="1228" priority="8808" operator="greaterThan">
      <formula>70</formula>
    </cfRule>
  </conditionalFormatting>
  <conditionalFormatting sqref="I214">
    <cfRule type="cellIs" dxfId="1227" priority="8809" operator="lessThan">
      <formula>0</formula>
    </cfRule>
  </conditionalFormatting>
  <conditionalFormatting sqref="I214">
    <cfRule type="cellIs" dxfId="1226" priority="8810" operator="greaterThan">
      <formula>70</formula>
    </cfRule>
  </conditionalFormatting>
  <conditionalFormatting sqref="J214">
    <cfRule type="cellIs" dxfId="1225" priority="8811" operator="lessThan">
      <formula>0</formula>
    </cfRule>
  </conditionalFormatting>
  <conditionalFormatting sqref="J214">
    <cfRule type="cellIs" dxfId="1224" priority="8812" operator="greaterThan">
      <formula>70</formula>
    </cfRule>
  </conditionalFormatting>
  <conditionalFormatting sqref="K214">
    <cfRule type="cellIs" dxfId="1223" priority="8813" operator="lessThan">
      <formula>0</formula>
    </cfRule>
  </conditionalFormatting>
  <conditionalFormatting sqref="K214">
    <cfRule type="cellIs" dxfId="1222" priority="8814" operator="greaterThan">
      <formula>70</formula>
    </cfRule>
  </conditionalFormatting>
  <conditionalFormatting sqref="S214">
    <cfRule type="cellIs" dxfId="1221" priority="8815" operator="lessThan">
      <formula>0</formula>
    </cfRule>
  </conditionalFormatting>
  <conditionalFormatting sqref="S214">
    <cfRule type="cellIs" dxfId="1220" priority="8816" operator="greaterThan">
      <formula>70</formula>
    </cfRule>
  </conditionalFormatting>
  <conditionalFormatting sqref="T214">
    <cfRule type="cellIs" dxfId="1219" priority="8817" operator="lessThan">
      <formula>0</formula>
    </cfRule>
  </conditionalFormatting>
  <conditionalFormatting sqref="T214">
    <cfRule type="cellIs" dxfId="1218" priority="8818" operator="greaterThan">
      <formula>30</formula>
    </cfRule>
  </conditionalFormatting>
  <conditionalFormatting sqref="C215">
    <cfRule type="cellIs" dxfId="1217" priority="8819" operator="lessThan">
      <formula>0</formula>
    </cfRule>
  </conditionalFormatting>
  <conditionalFormatting sqref="C215">
    <cfRule type="cellIs" dxfId="1216" priority="8820" operator="greaterThan">
      <formula>100</formula>
    </cfRule>
  </conditionalFormatting>
  <conditionalFormatting sqref="F215">
    <cfRule type="cellIs" dxfId="1215" priority="8821" operator="lessThan">
      <formula>0</formula>
    </cfRule>
  </conditionalFormatting>
  <conditionalFormatting sqref="F215">
    <cfRule type="cellIs" dxfId="1214" priority="8822" operator="greaterThan">
      <formula>70</formula>
    </cfRule>
  </conditionalFormatting>
  <conditionalFormatting sqref="G215">
    <cfRule type="cellIs" dxfId="1213" priority="8823" operator="lessThan">
      <formula>0</formula>
    </cfRule>
  </conditionalFormatting>
  <conditionalFormatting sqref="G215">
    <cfRule type="cellIs" dxfId="1212" priority="8824" operator="greaterThan">
      <formula>70</formula>
    </cfRule>
  </conditionalFormatting>
  <conditionalFormatting sqref="H215">
    <cfRule type="cellIs" dxfId="1211" priority="8825" operator="lessThan">
      <formula>0</formula>
    </cfRule>
  </conditionalFormatting>
  <conditionalFormatting sqref="H215">
    <cfRule type="cellIs" dxfId="1210" priority="8826" operator="greaterThan">
      <formula>70</formula>
    </cfRule>
  </conditionalFormatting>
  <conditionalFormatting sqref="I215">
    <cfRule type="cellIs" dxfId="1209" priority="8827" operator="lessThan">
      <formula>0</formula>
    </cfRule>
  </conditionalFormatting>
  <conditionalFormatting sqref="I215">
    <cfRule type="cellIs" dxfId="1208" priority="8828" operator="greaterThan">
      <formula>70</formula>
    </cfRule>
  </conditionalFormatting>
  <conditionalFormatting sqref="J215">
    <cfRule type="cellIs" dxfId="1207" priority="8829" operator="lessThan">
      <formula>0</formula>
    </cfRule>
  </conditionalFormatting>
  <conditionalFormatting sqref="J215">
    <cfRule type="cellIs" dxfId="1206" priority="8830" operator="greaterThan">
      <formula>70</formula>
    </cfRule>
  </conditionalFormatting>
  <conditionalFormatting sqref="K215">
    <cfRule type="cellIs" dxfId="1205" priority="8831" operator="lessThan">
      <formula>0</formula>
    </cfRule>
  </conditionalFormatting>
  <conditionalFormatting sqref="K215">
    <cfRule type="cellIs" dxfId="1204" priority="8832" operator="greaterThan">
      <formula>70</formula>
    </cfRule>
  </conditionalFormatting>
  <conditionalFormatting sqref="S215">
    <cfRule type="cellIs" dxfId="1203" priority="8833" operator="lessThan">
      <formula>0</formula>
    </cfRule>
  </conditionalFormatting>
  <conditionalFormatting sqref="S215">
    <cfRule type="cellIs" dxfId="1202" priority="8834" operator="greaterThan">
      <formula>70</formula>
    </cfRule>
  </conditionalFormatting>
  <conditionalFormatting sqref="T215">
    <cfRule type="cellIs" dxfId="1201" priority="8835" operator="lessThan">
      <formula>0</formula>
    </cfRule>
  </conditionalFormatting>
  <conditionalFormatting sqref="T215">
    <cfRule type="cellIs" dxfId="1200" priority="8836" operator="greaterThan">
      <formula>30</formula>
    </cfRule>
  </conditionalFormatting>
  <conditionalFormatting sqref="C216">
    <cfRule type="cellIs" dxfId="1199" priority="8837" operator="lessThan">
      <formula>0</formula>
    </cfRule>
  </conditionalFormatting>
  <conditionalFormatting sqref="C216">
    <cfRule type="cellIs" dxfId="1198" priority="8838" operator="greaterThan">
      <formula>100</formula>
    </cfRule>
  </conditionalFormatting>
  <conditionalFormatting sqref="F216">
    <cfRule type="cellIs" dxfId="1197" priority="8839" operator="lessThan">
      <formula>0</formula>
    </cfRule>
  </conditionalFormatting>
  <conditionalFormatting sqref="F216">
    <cfRule type="cellIs" dxfId="1196" priority="8840" operator="greaterThan">
      <formula>70</formula>
    </cfRule>
  </conditionalFormatting>
  <conditionalFormatting sqref="G216">
    <cfRule type="cellIs" dxfId="1195" priority="8841" operator="lessThan">
      <formula>0</formula>
    </cfRule>
  </conditionalFormatting>
  <conditionalFormatting sqref="G216">
    <cfRule type="cellIs" dxfId="1194" priority="8842" operator="greaterThan">
      <formula>70</formula>
    </cfRule>
  </conditionalFormatting>
  <conditionalFormatting sqref="H216">
    <cfRule type="cellIs" dxfId="1193" priority="8843" operator="lessThan">
      <formula>0</formula>
    </cfRule>
  </conditionalFormatting>
  <conditionalFormatting sqref="H216">
    <cfRule type="cellIs" dxfId="1192" priority="8844" operator="greaterThan">
      <formula>70</formula>
    </cfRule>
  </conditionalFormatting>
  <conditionalFormatting sqref="I216">
    <cfRule type="cellIs" dxfId="1191" priority="8845" operator="lessThan">
      <formula>0</formula>
    </cfRule>
  </conditionalFormatting>
  <conditionalFormatting sqref="I216">
    <cfRule type="cellIs" dxfId="1190" priority="8846" operator="greaterThan">
      <formula>70</formula>
    </cfRule>
  </conditionalFormatting>
  <conditionalFormatting sqref="J216">
    <cfRule type="cellIs" dxfId="1189" priority="8847" operator="lessThan">
      <formula>0</formula>
    </cfRule>
  </conditionalFormatting>
  <conditionalFormatting sqref="J216">
    <cfRule type="cellIs" dxfId="1188" priority="8848" operator="greaterThan">
      <formula>70</formula>
    </cfRule>
  </conditionalFormatting>
  <conditionalFormatting sqref="K216">
    <cfRule type="cellIs" dxfId="1187" priority="8849" operator="lessThan">
      <formula>0</formula>
    </cfRule>
  </conditionalFormatting>
  <conditionalFormatting sqref="K216">
    <cfRule type="cellIs" dxfId="1186" priority="8850" operator="greaterThan">
      <formula>70</formula>
    </cfRule>
  </conditionalFormatting>
  <conditionalFormatting sqref="S216">
    <cfRule type="cellIs" dxfId="1185" priority="8851" operator="lessThan">
      <formula>0</formula>
    </cfRule>
  </conditionalFormatting>
  <conditionalFormatting sqref="S216">
    <cfRule type="cellIs" dxfId="1184" priority="8852" operator="greaterThan">
      <formula>70</formula>
    </cfRule>
  </conditionalFormatting>
  <conditionalFormatting sqref="T216">
    <cfRule type="cellIs" dxfId="1183" priority="8853" operator="lessThan">
      <formula>0</formula>
    </cfRule>
  </conditionalFormatting>
  <conditionalFormatting sqref="T216">
    <cfRule type="cellIs" dxfId="1182" priority="8854" operator="greaterThan">
      <formula>30</formula>
    </cfRule>
  </conditionalFormatting>
  <conditionalFormatting sqref="C217">
    <cfRule type="cellIs" dxfId="1181" priority="8855" operator="lessThan">
      <formula>0</formula>
    </cfRule>
  </conditionalFormatting>
  <conditionalFormatting sqref="C217">
    <cfRule type="cellIs" dxfId="1180" priority="8856" operator="greaterThan">
      <formula>100</formula>
    </cfRule>
  </conditionalFormatting>
  <conditionalFormatting sqref="F217">
    <cfRule type="cellIs" dxfId="1179" priority="8857" operator="lessThan">
      <formula>0</formula>
    </cfRule>
  </conditionalFormatting>
  <conditionalFormatting sqref="F217">
    <cfRule type="cellIs" dxfId="1178" priority="8858" operator="greaterThan">
      <formula>70</formula>
    </cfRule>
  </conditionalFormatting>
  <conditionalFormatting sqref="G217">
    <cfRule type="cellIs" dxfId="1177" priority="8859" operator="lessThan">
      <formula>0</formula>
    </cfRule>
  </conditionalFormatting>
  <conditionalFormatting sqref="G217">
    <cfRule type="cellIs" dxfId="1176" priority="8860" operator="greaterThan">
      <formula>70</formula>
    </cfRule>
  </conditionalFormatting>
  <conditionalFormatting sqref="H217">
    <cfRule type="cellIs" dxfId="1175" priority="8861" operator="lessThan">
      <formula>0</formula>
    </cfRule>
  </conditionalFormatting>
  <conditionalFormatting sqref="H217">
    <cfRule type="cellIs" dxfId="1174" priority="8862" operator="greaterThan">
      <formula>70</formula>
    </cfRule>
  </conditionalFormatting>
  <conditionalFormatting sqref="I217">
    <cfRule type="cellIs" dxfId="1173" priority="8863" operator="lessThan">
      <formula>0</formula>
    </cfRule>
  </conditionalFormatting>
  <conditionalFormatting sqref="I217">
    <cfRule type="cellIs" dxfId="1172" priority="8864" operator="greaterThan">
      <formula>70</formula>
    </cfRule>
  </conditionalFormatting>
  <conditionalFormatting sqref="J217">
    <cfRule type="cellIs" dxfId="1171" priority="8865" operator="lessThan">
      <formula>0</formula>
    </cfRule>
  </conditionalFormatting>
  <conditionalFormatting sqref="J217">
    <cfRule type="cellIs" dxfId="1170" priority="8866" operator="greaterThan">
      <formula>70</formula>
    </cfRule>
  </conditionalFormatting>
  <conditionalFormatting sqref="K217">
    <cfRule type="cellIs" dxfId="1169" priority="8867" operator="lessThan">
      <formula>0</formula>
    </cfRule>
  </conditionalFormatting>
  <conditionalFormatting sqref="K217">
    <cfRule type="cellIs" dxfId="1168" priority="8868" operator="greaterThan">
      <formula>70</formula>
    </cfRule>
  </conditionalFormatting>
  <conditionalFormatting sqref="S217">
    <cfRule type="cellIs" dxfId="1167" priority="8869" operator="lessThan">
      <formula>0</formula>
    </cfRule>
  </conditionalFormatting>
  <conditionalFormatting sqref="S217">
    <cfRule type="cellIs" dxfId="1166" priority="8870" operator="greaterThan">
      <formula>70</formula>
    </cfRule>
  </conditionalFormatting>
  <conditionalFormatting sqref="T217">
    <cfRule type="cellIs" dxfId="1165" priority="8871" operator="lessThan">
      <formula>0</formula>
    </cfRule>
  </conditionalFormatting>
  <conditionalFormatting sqref="T217">
    <cfRule type="cellIs" dxfId="1164" priority="8872" operator="greaterThan">
      <formula>30</formula>
    </cfRule>
  </conditionalFormatting>
  <conditionalFormatting sqref="C218">
    <cfRule type="cellIs" dxfId="1163" priority="8873" operator="lessThan">
      <formula>0</formula>
    </cfRule>
  </conditionalFormatting>
  <conditionalFormatting sqref="C218">
    <cfRule type="cellIs" dxfId="1162" priority="8874" operator="greaterThan">
      <formula>100</formula>
    </cfRule>
  </conditionalFormatting>
  <conditionalFormatting sqref="F218">
    <cfRule type="cellIs" dxfId="1161" priority="8875" operator="lessThan">
      <formula>0</formula>
    </cfRule>
  </conditionalFormatting>
  <conditionalFormatting sqref="F218">
    <cfRule type="cellIs" dxfId="1160" priority="8876" operator="greaterThan">
      <formula>70</formula>
    </cfRule>
  </conditionalFormatting>
  <conditionalFormatting sqref="G218">
    <cfRule type="cellIs" dxfId="1159" priority="8877" operator="lessThan">
      <formula>0</formula>
    </cfRule>
  </conditionalFormatting>
  <conditionalFormatting sqref="G218">
    <cfRule type="cellIs" dxfId="1158" priority="8878" operator="greaterThan">
      <formula>70</formula>
    </cfRule>
  </conditionalFormatting>
  <conditionalFormatting sqref="H218">
    <cfRule type="cellIs" dxfId="1157" priority="8879" operator="lessThan">
      <formula>0</formula>
    </cfRule>
  </conditionalFormatting>
  <conditionalFormatting sqref="H218">
    <cfRule type="cellIs" dxfId="1156" priority="8880" operator="greaterThan">
      <formula>70</formula>
    </cfRule>
  </conditionalFormatting>
  <conditionalFormatting sqref="I218">
    <cfRule type="cellIs" dxfId="1155" priority="8881" operator="lessThan">
      <formula>0</formula>
    </cfRule>
  </conditionalFormatting>
  <conditionalFormatting sqref="I218">
    <cfRule type="cellIs" dxfId="1154" priority="8882" operator="greaterThan">
      <formula>70</formula>
    </cfRule>
  </conditionalFormatting>
  <conditionalFormatting sqref="J218">
    <cfRule type="cellIs" dxfId="1153" priority="8883" operator="lessThan">
      <formula>0</formula>
    </cfRule>
  </conditionalFormatting>
  <conditionalFormatting sqref="J218">
    <cfRule type="cellIs" dxfId="1152" priority="8884" operator="greaterThan">
      <formula>70</formula>
    </cfRule>
  </conditionalFormatting>
  <conditionalFormatting sqref="K218">
    <cfRule type="cellIs" dxfId="1151" priority="8885" operator="lessThan">
      <formula>0</formula>
    </cfRule>
  </conditionalFormatting>
  <conditionalFormatting sqref="K218">
    <cfRule type="cellIs" dxfId="1150" priority="8886" operator="greaterThan">
      <formula>70</formula>
    </cfRule>
  </conditionalFormatting>
  <conditionalFormatting sqref="S218">
    <cfRule type="cellIs" dxfId="1149" priority="8887" operator="lessThan">
      <formula>0</formula>
    </cfRule>
  </conditionalFormatting>
  <conditionalFormatting sqref="S218">
    <cfRule type="cellIs" dxfId="1148" priority="8888" operator="greaterThan">
      <formula>70</formula>
    </cfRule>
  </conditionalFormatting>
  <conditionalFormatting sqref="T218">
    <cfRule type="cellIs" dxfId="1147" priority="8889" operator="lessThan">
      <formula>0</formula>
    </cfRule>
  </conditionalFormatting>
  <conditionalFormatting sqref="T218">
    <cfRule type="cellIs" dxfId="1146" priority="8890" operator="greaterThan">
      <formula>30</formula>
    </cfRule>
  </conditionalFormatting>
  <conditionalFormatting sqref="C219">
    <cfRule type="cellIs" dxfId="1145" priority="8891" operator="lessThan">
      <formula>0</formula>
    </cfRule>
  </conditionalFormatting>
  <conditionalFormatting sqref="C219">
    <cfRule type="cellIs" dxfId="1144" priority="8892" operator="greaterThan">
      <formula>100</formula>
    </cfRule>
  </conditionalFormatting>
  <conditionalFormatting sqref="F219">
    <cfRule type="cellIs" dxfId="1143" priority="8893" operator="lessThan">
      <formula>0</formula>
    </cfRule>
  </conditionalFormatting>
  <conditionalFormatting sqref="F219">
    <cfRule type="cellIs" dxfId="1142" priority="8894" operator="greaterThan">
      <formula>70</formula>
    </cfRule>
  </conditionalFormatting>
  <conditionalFormatting sqref="G219">
    <cfRule type="cellIs" dxfId="1141" priority="8895" operator="lessThan">
      <formula>0</formula>
    </cfRule>
  </conditionalFormatting>
  <conditionalFormatting sqref="G219">
    <cfRule type="cellIs" dxfId="1140" priority="8896" operator="greaterThan">
      <formula>70</formula>
    </cfRule>
  </conditionalFormatting>
  <conditionalFormatting sqref="H219">
    <cfRule type="cellIs" dxfId="1139" priority="8897" operator="lessThan">
      <formula>0</formula>
    </cfRule>
  </conditionalFormatting>
  <conditionalFormatting sqref="H219">
    <cfRule type="cellIs" dxfId="1138" priority="8898" operator="greaterThan">
      <formula>70</formula>
    </cfRule>
  </conditionalFormatting>
  <conditionalFormatting sqref="I219">
    <cfRule type="cellIs" dxfId="1137" priority="8899" operator="lessThan">
      <formula>0</formula>
    </cfRule>
  </conditionalFormatting>
  <conditionalFormatting sqref="I219">
    <cfRule type="cellIs" dxfId="1136" priority="8900" operator="greaterThan">
      <formula>70</formula>
    </cfRule>
  </conditionalFormatting>
  <conditionalFormatting sqref="J219">
    <cfRule type="cellIs" dxfId="1135" priority="8901" operator="lessThan">
      <formula>0</formula>
    </cfRule>
  </conditionalFormatting>
  <conditionalFormatting sqref="J219">
    <cfRule type="cellIs" dxfId="1134" priority="8902" operator="greaterThan">
      <formula>70</formula>
    </cfRule>
  </conditionalFormatting>
  <conditionalFormatting sqref="K219">
    <cfRule type="cellIs" dxfId="1133" priority="8903" operator="lessThan">
      <formula>0</formula>
    </cfRule>
  </conditionalFormatting>
  <conditionalFormatting sqref="K219">
    <cfRule type="cellIs" dxfId="1132" priority="8904" operator="greaterThan">
      <formula>70</formula>
    </cfRule>
  </conditionalFormatting>
  <conditionalFormatting sqref="S219">
    <cfRule type="cellIs" dxfId="1131" priority="8905" operator="lessThan">
      <formula>0</formula>
    </cfRule>
  </conditionalFormatting>
  <conditionalFormatting sqref="S219">
    <cfRule type="cellIs" dxfId="1130" priority="8906" operator="greaterThan">
      <formula>70</formula>
    </cfRule>
  </conditionalFormatting>
  <conditionalFormatting sqref="T219">
    <cfRule type="cellIs" dxfId="1129" priority="8907" operator="lessThan">
      <formula>0</formula>
    </cfRule>
  </conditionalFormatting>
  <conditionalFormatting sqref="T219">
    <cfRule type="cellIs" dxfId="1128" priority="8908" operator="greaterThan">
      <formula>30</formula>
    </cfRule>
  </conditionalFormatting>
  <conditionalFormatting sqref="C220">
    <cfRule type="cellIs" dxfId="1127" priority="8909" operator="lessThan">
      <formula>0</formula>
    </cfRule>
  </conditionalFormatting>
  <conditionalFormatting sqref="C220">
    <cfRule type="cellIs" dxfId="1126" priority="8910" operator="greaterThan">
      <formula>100</formula>
    </cfRule>
  </conditionalFormatting>
  <conditionalFormatting sqref="F220">
    <cfRule type="cellIs" dxfId="1125" priority="8911" operator="lessThan">
      <formula>0</formula>
    </cfRule>
  </conditionalFormatting>
  <conditionalFormatting sqref="F220">
    <cfRule type="cellIs" dxfId="1124" priority="8912" operator="greaterThan">
      <formula>70</formula>
    </cfRule>
  </conditionalFormatting>
  <conditionalFormatting sqref="G220">
    <cfRule type="cellIs" dxfId="1123" priority="8913" operator="lessThan">
      <formula>0</formula>
    </cfRule>
  </conditionalFormatting>
  <conditionalFormatting sqref="G220">
    <cfRule type="cellIs" dxfId="1122" priority="8914" operator="greaterThan">
      <formula>70</formula>
    </cfRule>
  </conditionalFormatting>
  <conditionalFormatting sqref="H220">
    <cfRule type="cellIs" dxfId="1121" priority="8915" operator="lessThan">
      <formula>0</formula>
    </cfRule>
  </conditionalFormatting>
  <conditionalFormatting sqref="H220">
    <cfRule type="cellIs" dxfId="1120" priority="8916" operator="greaterThan">
      <formula>70</formula>
    </cfRule>
  </conditionalFormatting>
  <conditionalFormatting sqref="I220">
    <cfRule type="cellIs" dxfId="1119" priority="8917" operator="lessThan">
      <formula>0</formula>
    </cfRule>
  </conditionalFormatting>
  <conditionalFormatting sqref="I220">
    <cfRule type="cellIs" dxfId="1118" priority="8918" operator="greaterThan">
      <formula>70</formula>
    </cfRule>
  </conditionalFormatting>
  <conditionalFormatting sqref="J220">
    <cfRule type="cellIs" dxfId="1117" priority="8919" operator="lessThan">
      <formula>0</formula>
    </cfRule>
  </conditionalFormatting>
  <conditionalFormatting sqref="J220">
    <cfRule type="cellIs" dxfId="1116" priority="8920" operator="greaterThan">
      <formula>70</formula>
    </cfRule>
  </conditionalFormatting>
  <conditionalFormatting sqref="K220">
    <cfRule type="cellIs" dxfId="1115" priority="8921" operator="lessThan">
      <formula>0</formula>
    </cfRule>
  </conditionalFormatting>
  <conditionalFormatting sqref="K220">
    <cfRule type="cellIs" dxfId="1114" priority="8922" operator="greaterThan">
      <formula>70</formula>
    </cfRule>
  </conditionalFormatting>
  <conditionalFormatting sqref="S220">
    <cfRule type="cellIs" dxfId="1113" priority="8923" operator="lessThan">
      <formula>0</formula>
    </cfRule>
  </conditionalFormatting>
  <conditionalFormatting sqref="S220">
    <cfRule type="cellIs" dxfId="1112" priority="8924" operator="greaterThan">
      <formula>70</formula>
    </cfRule>
  </conditionalFormatting>
  <conditionalFormatting sqref="T220">
    <cfRule type="cellIs" dxfId="1111" priority="8925" operator="lessThan">
      <formula>0</formula>
    </cfRule>
  </conditionalFormatting>
  <conditionalFormatting sqref="T220">
    <cfRule type="cellIs" dxfId="1110" priority="8926" operator="greaterThan">
      <formula>30</formula>
    </cfRule>
  </conditionalFormatting>
  <conditionalFormatting sqref="C221">
    <cfRule type="cellIs" dxfId="1109" priority="8927" operator="lessThan">
      <formula>0</formula>
    </cfRule>
  </conditionalFormatting>
  <conditionalFormatting sqref="C221">
    <cfRule type="cellIs" dxfId="1108" priority="8928" operator="greaterThan">
      <formula>100</formula>
    </cfRule>
  </conditionalFormatting>
  <conditionalFormatting sqref="F221">
    <cfRule type="cellIs" dxfId="1107" priority="8929" operator="lessThan">
      <formula>0</formula>
    </cfRule>
  </conditionalFormatting>
  <conditionalFormatting sqref="F221">
    <cfRule type="cellIs" dxfId="1106" priority="8930" operator="greaterThan">
      <formula>70</formula>
    </cfRule>
  </conditionalFormatting>
  <conditionalFormatting sqref="G221">
    <cfRule type="cellIs" dxfId="1105" priority="8931" operator="lessThan">
      <formula>0</formula>
    </cfRule>
  </conditionalFormatting>
  <conditionalFormatting sqref="G221">
    <cfRule type="cellIs" dxfId="1104" priority="8932" operator="greaterThan">
      <formula>70</formula>
    </cfRule>
  </conditionalFormatting>
  <conditionalFormatting sqref="H221">
    <cfRule type="cellIs" dxfId="1103" priority="8933" operator="lessThan">
      <formula>0</formula>
    </cfRule>
  </conditionalFormatting>
  <conditionalFormatting sqref="H221">
    <cfRule type="cellIs" dxfId="1102" priority="8934" operator="greaterThan">
      <formula>70</formula>
    </cfRule>
  </conditionalFormatting>
  <conditionalFormatting sqref="I221">
    <cfRule type="cellIs" dxfId="1101" priority="8935" operator="lessThan">
      <formula>0</formula>
    </cfRule>
  </conditionalFormatting>
  <conditionalFormatting sqref="I221">
    <cfRule type="cellIs" dxfId="1100" priority="8936" operator="greaterThan">
      <formula>70</formula>
    </cfRule>
  </conditionalFormatting>
  <conditionalFormatting sqref="J221">
    <cfRule type="cellIs" dxfId="1099" priority="8937" operator="lessThan">
      <formula>0</formula>
    </cfRule>
  </conditionalFormatting>
  <conditionalFormatting sqref="J221">
    <cfRule type="cellIs" dxfId="1098" priority="8938" operator="greaterThan">
      <formula>70</formula>
    </cfRule>
  </conditionalFormatting>
  <conditionalFormatting sqref="K221">
    <cfRule type="cellIs" dxfId="1097" priority="8939" operator="lessThan">
      <formula>0</formula>
    </cfRule>
  </conditionalFormatting>
  <conditionalFormatting sqref="K221">
    <cfRule type="cellIs" dxfId="1096" priority="8940" operator="greaterThan">
      <formula>70</formula>
    </cfRule>
  </conditionalFormatting>
  <conditionalFormatting sqref="S221">
    <cfRule type="cellIs" dxfId="1095" priority="8941" operator="lessThan">
      <formula>0</formula>
    </cfRule>
  </conditionalFormatting>
  <conditionalFormatting sqref="S221">
    <cfRule type="cellIs" dxfId="1094" priority="8942" operator="greaterThan">
      <formula>70</formula>
    </cfRule>
  </conditionalFormatting>
  <conditionalFormatting sqref="T221">
    <cfRule type="cellIs" dxfId="1093" priority="8943" operator="lessThan">
      <formula>0</formula>
    </cfRule>
  </conditionalFormatting>
  <conditionalFormatting sqref="T221">
    <cfRule type="cellIs" dxfId="1092" priority="8944" operator="greaterThan">
      <formula>30</formula>
    </cfRule>
  </conditionalFormatting>
  <conditionalFormatting sqref="C222">
    <cfRule type="cellIs" dxfId="1091" priority="8945" operator="lessThan">
      <formula>0</formula>
    </cfRule>
  </conditionalFormatting>
  <conditionalFormatting sqref="C222">
    <cfRule type="cellIs" dxfId="1090" priority="8946" operator="greaterThan">
      <formula>100</formula>
    </cfRule>
  </conditionalFormatting>
  <conditionalFormatting sqref="F222">
    <cfRule type="cellIs" dxfId="1089" priority="8947" operator="lessThan">
      <formula>0</formula>
    </cfRule>
  </conditionalFormatting>
  <conditionalFormatting sqref="F222">
    <cfRule type="cellIs" dxfId="1088" priority="8948" operator="greaterThan">
      <formula>70</formula>
    </cfRule>
  </conditionalFormatting>
  <conditionalFormatting sqref="G222">
    <cfRule type="cellIs" dxfId="1087" priority="8949" operator="lessThan">
      <formula>0</formula>
    </cfRule>
  </conditionalFormatting>
  <conditionalFormatting sqref="G222">
    <cfRule type="cellIs" dxfId="1086" priority="8950" operator="greaterThan">
      <formula>70</formula>
    </cfRule>
  </conditionalFormatting>
  <conditionalFormatting sqref="H222">
    <cfRule type="cellIs" dxfId="1085" priority="8951" operator="lessThan">
      <formula>0</formula>
    </cfRule>
  </conditionalFormatting>
  <conditionalFormatting sqref="H222">
    <cfRule type="cellIs" dxfId="1084" priority="8952" operator="greaterThan">
      <formula>70</formula>
    </cfRule>
  </conditionalFormatting>
  <conditionalFormatting sqref="I222">
    <cfRule type="cellIs" dxfId="1083" priority="8953" operator="lessThan">
      <formula>0</formula>
    </cfRule>
  </conditionalFormatting>
  <conditionalFormatting sqref="I222">
    <cfRule type="cellIs" dxfId="1082" priority="8954" operator="greaterThan">
      <formula>70</formula>
    </cfRule>
  </conditionalFormatting>
  <conditionalFormatting sqref="J222">
    <cfRule type="cellIs" dxfId="1081" priority="8955" operator="lessThan">
      <formula>0</formula>
    </cfRule>
  </conditionalFormatting>
  <conditionalFormatting sqref="J222">
    <cfRule type="cellIs" dxfId="1080" priority="8956" operator="greaterThan">
      <formula>70</formula>
    </cfRule>
  </conditionalFormatting>
  <conditionalFormatting sqref="K222">
    <cfRule type="cellIs" dxfId="1079" priority="8957" operator="lessThan">
      <formula>0</formula>
    </cfRule>
  </conditionalFormatting>
  <conditionalFormatting sqref="K222">
    <cfRule type="cellIs" dxfId="1078" priority="8958" operator="greaterThan">
      <formula>70</formula>
    </cfRule>
  </conditionalFormatting>
  <conditionalFormatting sqref="S222">
    <cfRule type="cellIs" dxfId="1077" priority="8959" operator="lessThan">
      <formula>0</formula>
    </cfRule>
  </conditionalFormatting>
  <conditionalFormatting sqref="S222">
    <cfRule type="cellIs" dxfId="1076" priority="8960" operator="greaterThan">
      <formula>70</formula>
    </cfRule>
  </conditionalFormatting>
  <conditionalFormatting sqref="T222">
    <cfRule type="cellIs" dxfId="1075" priority="8961" operator="lessThan">
      <formula>0</formula>
    </cfRule>
  </conditionalFormatting>
  <conditionalFormatting sqref="T222">
    <cfRule type="cellIs" dxfId="1074" priority="8962" operator="greaterThan">
      <formula>30</formula>
    </cfRule>
  </conditionalFormatting>
  <conditionalFormatting sqref="C223">
    <cfRule type="cellIs" dxfId="1073" priority="8963" operator="lessThan">
      <formula>0</formula>
    </cfRule>
  </conditionalFormatting>
  <conditionalFormatting sqref="C223">
    <cfRule type="cellIs" dxfId="1072" priority="8964" operator="greaterThan">
      <formula>100</formula>
    </cfRule>
  </conditionalFormatting>
  <conditionalFormatting sqref="F223">
    <cfRule type="cellIs" dxfId="1071" priority="8965" operator="lessThan">
      <formula>0</formula>
    </cfRule>
  </conditionalFormatting>
  <conditionalFormatting sqref="F223">
    <cfRule type="cellIs" dxfId="1070" priority="8966" operator="greaterThan">
      <formula>70</formula>
    </cfRule>
  </conditionalFormatting>
  <conditionalFormatting sqref="G223">
    <cfRule type="cellIs" dxfId="1069" priority="8967" operator="lessThan">
      <formula>0</formula>
    </cfRule>
  </conditionalFormatting>
  <conditionalFormatting sqref="G223">
    <cfRule type="cellIs" dxfId="1068" priority="8968" operator="greaterThan">
      <formula>70</formula>
    </cfRule>
  </conditionalFormatting>
  <conditionalFormatting sqref="H223">
    <cfRule type="cellIs" dxfId="1067" priority="8969" operator="lessThan">
      <formula>0</formula>
    </cfRule>
  </conditionalFormatting>
  <conditionalFormatting sqref="H223">
    <cfRule type="cellIs" dxfId="1066" priority="8970" operator="greaterThan">
      <formula>70</formula>
    </cfRule>
  </conditionalFormatting>
  <conditionalFormatting sqref="I223">
    <cfRule type="cellIs" dxfId="1065" priority="8971" operator="lessThan">
      <formula>0</formula>
    </cfRule>
  </conditionalFormatting>
  <conditionalFormatting sqref="I223">
    <cfRule type="cellIs" dxfId="1064" priority="8972" operator="greaterThan">
      <formula>70</formula>
    </cfRule>
  </conditionalFormatting>
  <conditionalFormatting sqref="J223">
    <cfRule type="cellIs" dxfId="1063" priority="8973" operator="lessThan">
      <formula>0</formula>
    </cfRule>
  </conditionalFormatting>
  <conditionalFormatting sqref="J223">
    <cfRule type="cellIs" dxfId="1062" priority="8974" operator="greaterThan">
      <formula>70</formula>
    </cfRule>
  </conditionalFormatting>
  <conditionalFormatting sqref="K223">
    <cfRule type="cellIs" dxfId="1061" priority="8975" operator="lessThan">
      <formula>0</formula>
    </cfRule>
  </conditionalFormatting>
  <conditionalFormatting sqref="K223">
    <cfRule type="cellIs" dxfId="1060" priority="8976" operator="greaterThan">
      <formula>70</formula>
    </cfRule>
  </conditionalFormatting>
  <conditionalFormatting sqref="S223">
    <cfRule type="cellIs" dxfId="1059" priority="8977" operator="lessThan">
      <formula>0</formula>
    </cfRule>
  </conditionalFormatting>
  <conditionalFormatting sqref="S223">
    <cfRule type="cellIs" dxfId="1058" priority="8978" operator="greaterThan">
      <formula>70</formula>
    </cfRule>
  </conditionalFormatting>
  <conditionalFormatting sqref="T223">
    <cfRule type="cellIs" dxfId="1057" priority="8979" operator="lessThan">
      <formula>0</formula>
    </cfRule>
  </conditionalFormatting>
  <conditionalFormatting sqref="T223">
    <cfRule type="cellIs" dxfId="1056" priority="8980" operator="greaterThan">
      <formula>30</formula>
    </cfRule>
  </conditionalFormatting>
  <conditionalFormatting sqref="C224">
    <cfRule type="cellIs" dxfId="1055" priority="8981" operator="lessThan">
      <formula>0</formula>
    </cfRule>
  </conditionalFormatting>
  <conditionalFormatting sqref="C224">
    <cfRule type="cellIs" dxfId="1054" priority="8982" operator="greaterThan">
      <formula>100</formula>
    </cfRule>
  </conditionalFormatting>
  <conditionalFormatting sqref="F224">
    <cfRule type="cellIs" dxfId="1053" priority="8983" operator="lessThan">
      <formula>0</formula>
    </cfRule>
  </conditionalFormatting>
  <conditionalFormatting sqref="F224">
    <cfRule type="cellIs" dxfId="1052" priority="8984" operator="greaterThan">
      <formula>70</formula>
    </cfRule>
  </conditionalFormatting>
  <conditionalFormatting sqref="G224">
    <cfRule type="cellIs" dxfId="1051" priority="8985" operator="lessThan">
      <formula>0</formula>
    </cfRule>
  </conditionalFormatting>
  <conditionalFormatting sqref="G224">
    <cfRule type="cellIs" dxfId="1050" priority="8986" operator="greaterThan">
      <formula>70</formula>
    </cfRule>
  </conditionalFormatting>
  <conditionalFormatting sqref="H224">
    <cfRule type="cellIs" dxfId="1049" priority="8987" operator="lessThan">
      <formula>0</formula>
    </cfRule>
  </conditionalFormatting>
  <conditionalFormatting sqref="H224">
    <cfRule type="cellIs" dxfId="1048" priority="8988" operator="greaterThan">
      <formula>70</formula>
    </cfRule>
  </conditionalFormatting>
  <conditionalFormatting sqref="I224">
    <cfRule type="cellIs" dxfId="1047" priority="8989" operator="lessThan">
      <formula>0</formula>
    </cfRule>
  </conditionalFormatting>
  <conditionalFormatting sqref="I224">
    <cfRule type="cellIs" dxfId="1046" priority="8990" operator="greaterThan">
      <formula>70</formula>
    </cfRule>
  </conditionalFormatting>
  <conditionalFormatting sqref="J224">
    <cfRule type="cellIs" dxfId="1045" priority="8991" operator="lessThan">
      <formula>0</formula>
    </cfRule>
  </conditionalFormatting>
  <conditionalFormatting sqref="J224">
    <cfRule type="cellIs" dxfId="1044" priority="8992" operator="greaterThan">
      <formula>70</formula>
    </cfRule>
  </conditionalFormatting>
  <conditionalFormatting sqref="K224">
    <cfRule type="cellIs" dxfId="1043" priority="8993" operator="lessThan">
      <formula>0</formula>
    </cfRule>
  </conditionalFormatting>
  <conditionalFormatting sqref="K224">
    <cfRule type="cellIs" dxfId="1042" priority="8994" operator="greaterThan">
      <formula>70</formula>
    </cfRule>
  </conditionalFormatting>
  <conditionalFormatting sqref="S224">
    <cfRule type="cellIs" dxfId="1041" priority="8995" operator="lessThan">
      <formula>0</formula>
    </cfRule>
  </conditionalFormatting>
  <conditionalFormatting sqref="S224">
    <cfRule type="cellIs" dxfId="1040" priority="8996" operator="greaterThan">
      <formula>70</formula>
    </cfRule>
  </conditionalFormatting>
  <conditionalFormatting sqref="T224">
    <cfRule type="cellIs" dxfId="1039" priority="8997" operator="lessThan">
      <formula>0</formula>
    </cfRule>
  </conditionalFormatting>
  <conditionalFormatting sqref="T224">
    <cfRule type="cellIs" dxfId="1038" priority="8998" operator="greaterThan">
      <formula>30</formula>
    </cfRule>
  </conditionalFormatting>
  <conditionalFormatting sqref="C225">
    <cfRule type="cellIs" dxfId="1037" priority="8999" operator="lessThan">
      <formula>0</formula>
    </cfRule>
  </conditionalFormatting>
  <conditionalFormatting sqref="C225">
    <cfRule type="cellIs" dxfId="1036" priority="9000" operator="greaterThan">
      <formula>100</formula>
    </cfRule>
  </conditionalFormatting>
  <conditionalFormatting sqref="F225">
    <cfRule type="cellIs" dxfId="1035" priority="9001" operator="lessThan">
      <formula>0</formula>
    </cfRule>
  </conditionalFormatting>
  <conditionalFormatting sqref="F225">
    <cfRule type="cellIs" dxfId="1034" priority="9002" operator="greaterThan">
      <formula>70</formula>
    </cfRule>
  </conditionalFormatting>
  <conditionalFormatting sqref="G225">
    <cfRule type="cellIs" dxfId="1033" priority="9003" operator="lessThan">
      <formula>0</formula>
    </cfRule>
  </conditionalFormatting>
  <conditionalFormatting sqref="G225">
    <cfRule type="cellIs" dxfId="1032" priority="9004" operator="greaterThan">
      <formula>70</formula>
    </cfRule>
  </conditionalFormatting>
  <conditionalFormatting sqref="H225">
    <cfRule type="cellIs" dxfId="1031" priority="9005" operator="lessThan">
      <formula>0</formula>
    </cfRule>
  </conditionalFormatting>
  <conditionalFormatting sqref="H225">
    <cfRule type="cellIs" dxfId="1030" priority="9006" operator="greaterThan">
      <formula>70</formula>
    </cfRule>
  </conditionalFormatting>
  <conditionalFormatting sqref="I225">
    <cfRule type="cellIs" dxfId="1029" priority="9007" operator="lessThan">
      <formula>0</formula>
    </cfRule>
  </conditionalFormatting>
  <conditionalFormatting sqref="I225">
    <cfRule type="cellIs" dxfId="1028" priority="9008" operator="greaterThan">
      <formula>70</formula>
    </cfRule>
  </conditionalFormatting>
  <conditionalFormatting sqref="J225">
    <cfRule type="cellIs" dxfId="1027" priority="9009" operator="lessThan">
      <formula>0</formula>
    </cfRule>
  </conditionalFormatting>
  <conditionalFormatting sqref="J225">
    <cfRule type="cellIs" dxfId="1026" priority="9010" operator="greaterThan">
      <formula>70</formula>
    </cfRule>
  </conditionalFormatting>
  <conditionalFormatting sqref="K225">
    <cfRule type="cellIs" dxfId="1025" priority="9011" operator="lessThan">
      <formula>0</formula>
    </cfRule>
  </conditionalFormatting>
  <conditionalFormatting sqref="K225">
    <cfRule type="cellIs" dxfId="1024" priority="9012" operator="greaterThan">
      <formula>70</formula>
    </cfRule>
  </conditionalFormatting>
  <conditionalFormatting sqref="S225">
    <cfRule type="cellIs" dxfId="1023" priority="9013" operator="lessThan">
      <formula>0</formula>
    </cfRule>
  </conditionalFormatting>
  <conditionalFormatting sqref="S225">
    <cfRule type="cellIs" dxfId="1022" priority="9014" operator="greaterThan">
      <formula>70</formula>
    </cfRule>
  </conditionalFormatting>
  <conditionalFormatting sqref="T225">
    <cfRule type="cellIs" dxfId="1021" priority="9015" operator="lessThan">
      <formula>0</formula>
    </cfRule>
  </conditionalFormatting>
  <conditionalFormatting sqref="T225">
    <cfRule type="cellIs" dxfId="1020" priority="9016" operator="greaterThan">
      <formula>30</formula>
    </cfRule>
  </conditionalFormatting>
  <conditionalFormatting sqref="C226">
    <cfRule type="cellIs" dxfId="1019" priority="9017" operator="lessThan">
      <formula>0</formula>
    </cfRule>
  </conditionalFormatting>
  <conditionalFormatting sqref="C226">
    <cfRule type="cellIs" dxfId="1018" priority="9018" operator="greaterThan">
      <formula>100</formula>
    </cfRule>
  </conditionalFormatting>
  <conditionalFormatting sqref="F226">
    <cfRule type="cellIs" dxfId="1017" priority="9019" operator="lessThan">
      <formula>0</formula>
    </cfRule>
  </conditionalFormatting>
  <conditionalFormatting sqref="F226">
    <cfRule type="cellIs" dxfId="1016" priority="9020" operator="greaterThan">
      <formula>70</formula>
    </cfRule>
  </conditionalFormatting>
  <conditionalFormatting sqref="G226">
    <cfRule type="cellIs" dxfId="1015" priority="9021" operator="lessThan">
      <formula>0</formula>
    </cfRule>
  </conditionalFormatting>
  <conditionalFormatting sqref="G226">
    <cfRule type="cellIs" dxfId="1014" priority="9022" operator="greaterThan">
      <formula>70</formula>
    </cfRule>
  </conditionalFormatting>
  <conditionalFormatting sqref="H226">
    <cfRule type="cellIs" dxfId="1013" priority="9023" operator="lessThan">
      <formula>0</formula>
    </cfRule>
  </conditionalFormatting>
  <conditionalFormatting sqref="H226">
    <cfRule type="cellIs" dxfId="1012" priority="9024" operator="greaterThan">
      <formula>70</formula>
    </cfRule>
  </conditionalFormatting>
  <conditionalFormatting sqref="I226">
    <cfRule type="cellIs" dxfId="1011" priority="9025" operator="lessThan">
      <formula>0</formula>
    </cfRule>
  </conditionalFormatting>
  <conditionalFormatting sqref="I226">
    <cfRule type="cellIs" dxfId="1010" priority="9026" operator="greaterThan">
      <formula>70</formula>
    </cfRule>
  </conditionalFormatting>
  <conditionalFormatting sqref="J226">
    <cfRule type="cellIs" dxfId="1009" priority="9027" operator="lessThan">
      <formula>0</formula>
    </cfRule>
  </conditionalFormatting>
  <conditionalFormatting sqref="J226">
    <cfRule type="cellIs" dxfId="1008" priority="9028" operator="greaterThan">
      <formula>70</formula>
    </cfRule>
  </conditionalFormatting>
  <conditionalFormatting sqref="K226">
    <cfRule type="cellIs" dxfId="1007" priority="9029" operator="lessThan">
      <formula>0</formula>
    </cfRule>
  </conditionalFormatting>
  <conditionalFormatting sqref="K226">
    <cfRule type="cellIs" dxfId="1006" priority="9030" operator="greaterThan">
      <formula>70</formula>
    </cfRule>
  </conditionalFormatting>
  <conditionalFormatting sqref="S226">
    <cfRule type="cellIs" dxfId="1005" priority="9031" operator="lessThan">
      <formula>0</formula>
    </cfRule>
  </conditionalFormatting>
  <conditionalFormatting sqref="S226">
    <cfRule type="cellIs" dxfId="1004" priority="9032" operator="greaterThan">
      <formula>70</formula>
    </cfRule>
  </conditionalFormatting>
  <conditionalFormatting sqref="T226">
    <cfRule type="cellIs" dxfId="1003" priority="9033" operator="lessThan">
      <formula>0</formula>
    </cfRule>
  </conditionalFormatting>
  <conditionalFormatting sqref="T226">
    <cfRule type="cellIs" dxfId="1002" priority="9034" operator="greaterThan">
      <formula>30</formula>
    </cfRule>
  </conditionalFormatting>
  <conditionalFormatting sqref="C227">
    <cfRule type="cellIs" dxfId="1001" priority="9035" operator="lessThan">
      <formula>0</formula>
    </cfRule>
  </conditionalFormatting>
  <conditionalFormatting sqref="C227">
    <cfRule type="cellIs" dxfId="1000" priority="9036" operator="greaterThan">
      <formula>100</formula>
    </cfRule>
  </conditionalFormatting>
  <conditionalFormatting sqref="F227">
    <cfRule type="cellIs" dxfId="999" priority="9037" operator="lessThan">
      <formula>0</formula>
    </cfRule>
  </conditionalFormatting>
  <conditionalFormatting sqref="F227">
    <cfRule type="cellIs" dxfId="998" priority="9038" operator="greaterThan">
      <formula>70</formula>
    </cfRule>
  </conditionalFormatting>
  <conditionalFormatting sqref="G227">
    <cfRule type="cellIs" dxfId="997" priority="9039" operator="lessThan">
      <formula>0</formula>
    </cfRule>
  </conditionalFormatting>
  <conditionalFormatting sqref="G227">
    <cfRule type="cellIs" dxfId="996" priority="9040" operator="greaterThan">
      <formula>70</formula>
    </cfRule>
  </conditionalFormatting>
  <conditionalFormatting sqref="H227">
    <cfRule type="cellIs" dxfId="995" priority="9041" operator="lessThan">
      <formula>0</formula>
    </cfRule>
  </conditionalFormatting>
  <conditionalFormatting sqref="H227">
    <cfRule type="cellIs" dxfId="994" priority="9042" operator="greaterThan">
      <formula>70</formula>
    </cfRule>
  </conditionalFormatting>
  <conditionalFormatting sqref="I227">
    <cfRule type="cellIs" dxfId="993" priority="9043" operator="lessThan">
      <formula>0</formula>
    </cfRule>
  </conditionalFormatting>
  <conditionalFormatting sqref="I227">
    <cfRule type="cellIs" dxfId="992" priority="9044" operator="greaterThan">
      <formula>70</formula>
    </cfRule>
  </conditionalFormatting>
  <conditionalFormatting sqref="J227">
    <cfRule type="cellIs" dxfId="991" priority="9045" operator="lessThan">
      <formula>0</formula>
    </cfRule>
  </conditionalFormatting>
  <conditionalFormatting sqref="J227">
    <cfRule type="cellIs" dxfId="990" priority="9046" operator="greaterThan">
      <formula>70</formula>
    </cfRule>
  </conditionalFormatting>
  <conditionalFormatting sqref="K227">
    <cfRule type="cellIs" dxfId="989" priority="9047" operator="lessThan">
      <formula>0</formula>
    </cfRule>
  </conditionalFormatting>
  <conditionalFormatting sqref="K227">
    <cfRule type="cellIs" dxfId="988" priority="9048" operator="greaterThan">
      <formula>70</formula>
    </cfRule>
  </conditionalFormatting>
  <conditionalFormatting sqref="S227">
    <cfRule type="cellIs" dxfId="987" priority="9049" operator="lessThan">
      <formula>0</formula>
    </cfRule>
  </conditionalFormatting>
  <conditionalFormatting sqref="S227">
    <cfRule type="cellIs" dxfId="986" priority="9050" operator="greaterThan">
      <formula>70</formula>
    </cfRule>
  </conditionalFormatting>
  <conditionalFormatting sqref="T227">
    <cfRule type="cellIs" dxfId="985" priority="9051" operator="lessThan">
      <formula>0</formula>
    </cfRule>
  </conditionalFormatting>
  <conditionalFormatting sqref="T227">
    <cfRule type="cellIs" dxfId="984" priority="9052" operator="greaterThan">
      <formula>30</formula>
    </cfRule>
  </conditionalFormatting>
  <conditionalFormatting sqref="C228">
    <cfRule type="cellIs" dxfId="983" priority="9053" operator="lessThan">
      <formula>0</formula>
    </cfRule>
  </conditionalFormatting>
  <conditionalFormatting sqref="C228">
    <cfRule type="cellIs" dxfId="982" priority="9054" operator="greaterThan">
      <formula>100</formula>
    </cfRule>
  </conditionalFormatting>
  <conditionalFormatting sqref="F228">
    <cfRule type="cellIs" dxfId="981" priority="9055" operator="lessThan">
      <formula>0</formula>
    </cfRule>
  </conditionalFormatting>
  <conditionalFormatting sqref="F228">
    <cfRule type="cellIs" dxfId="980" priority="9056" operator="greaterThan">
      <formula>70</formula>
    </cfRule>
  </conditionalFormatting>
  <conditionalFormatting sqref="G228">
    <cfRule type="cellIs" dxfId="979" priority="9057" operator="lessThan">
      <formula>0</formula>
    </cfRule>
  </conditionalFormatting>
  <conditionalFormatting sqref="G228">
    <cfRule type="cellIs" dxfId="978" priority="9058" operator="greaterThan">
      <formula>70</formula>
    </cfRule>
  </conditionalFormatting>
  <conditionalFormatting sqref="H228">
    <cfRule type="cellIs" dxfId="977" priority="9059" operator="lessThan">
      <formula>0</formula>
    </cfRule>
  </conditionalFormatting>
  <conditionalFormatting sqref="H228">
    <cfRule type="cellIs" dxfId="976" priority="9060" operator="greaterThan">
      <formula>70</formula>
    </cfRule>
  </conditionalFormatting>
  <conditionalFormatting sqref="I228">
    <cfRule type="cellIs" dxfId="975" priority="9061" operator="lessThan">
      <formula>0</formula>
    </cfRule>
  </conditionalFormatting>
  <conditionalFormatting sqref="I228">
    <cfRule type="cellIs" dxfId="974" priority="9062" operator="greaterThan">
      <formula>70</formula>
    </cfRule>
  </conditionalFormatting>
  <conditionalFormatting sqref="J228">
    <cfRule type="cellIs" dxfId="973" priority="9063" operator="lessThan">
      <formula>0</formula>
    </cfRule>
  </conditionalFormatting>
  <conditionalFormatting sqref="J228">
    <cfRule type="cellIs" dxfId="972" priority="9064" operator="greaterThan">
      <formula>70</formula>
    </cfRule>
  </conditionalFormatting>
  <conditionalFormatting sqref="K228">
    <cfRule type="cellIs" dxfId="971" priority="9065" operator="lessThan">
      <formula>0</formula>
    </cfRule>
  </conditionalFormatting>
  <conditionalFormatting sqref="K228">
    <cfRule type="cellIs" dxfId="970" priority="9066" operator="greaterThan">
      <formula>70</formula>
    </cfRule>
  </conditionalFormatting>
  <conditionalFormatting sqref="S228">
    <cfRule type="cellIs" dxfId="969" priority="9067" operator="lessThan">
      <formula>0</formula>
    </cfRule>
  </conditionalFormatting>
  <conditionalFormatting sqref="S228">
    <cfRule type="cellIs" dxfId="968" priority="9068" operator="greaterThan">
      <formula>70</formula>
    </cfRule>
  </conditionalFormatting>
  <conditionalFormatting sqref="T228">
    <cfRule type="cellIs" dxfId="967" priority="9069" operator="lessThan">
      <formula>0</formula>
    </cfRule>
  </conditionalFormatting>
  <conditionalFormatting sqref="T228">
    <cfRule type="cellIs" dxfId="966" priority="9070" operator="greaterThan">
      <formula>30</formula>
    </cfRule>
  </conditionalFormatting>
  <conditionalFormatting sqref="C229">
    <cfRule type="cellIs" dxfId="965" priority="9071" operator="lessThan">
      <formula>0</formula>
    </cfRule>
  </conditionalFormatting>
  <conditionalFormatting sqref="C229">
    <cfRule type="cellIs" dxfId="964" priority="9072" operator="greaterThan">
      <formula>100</formula>
    </cfRule>
  </conditionalFormatting>
  <conditionalFormatting sqref="F229">
    <cfRule type="cellIs" dxfId="963" priority="9073" operator="lessThan">
      <formula>0</formula>
    </cfRule>
  </conditionalFormatting>
  <conditionalFormatting sqref="F229">
    <cfRule type="cellIs" dxfId="962" priority="9074" operator="greaterThan">
      <formula>70</formula>
    </cfRule>
  </conditionalFormatting>
  <conditionalFormatting sqref="G229">
    <cfRule type="cellIs" dxfId="961" priority="9075" operator="lessThan">
      <formula>0</formula>
    </cfRule>
  </conditionalFormatting>
  <conditionalFormatting sqref="G229">
    <cfRule type="cellIs" dxfId="960" priority="9076" operator="greaterThan">
      <formula>70</formula>
    </cfRule>
  </conditionalFormatting>
  <conditionalFormatting sqref="H229">
    <cfRule type="cellIs" dxfId="959" priority="9077" operator="lessThan">
      <formula>0</formula>
    </cfRule>
  </conditionalFormatting>
  <conditionalFormatting sqref="H229">
    <cfRule type="cellIs" dxfId="958" priority="9078" operator="greaterThan">
      <formula>70</formula>
    </cfRule>
  </conditionalFormatting>
  <conditionalFormatting sqref="I229">
    <cfRule type="cellIs" dxfId="957" priority="9079" operator="lessThan">
      <formula>0</formula>
    </cfRule>
  </conditionalFormatting>
  <conditionalFormatting sqref="I229">
    <cfRule type="cellIs" dxfId="956" priority="9080" operator="greaterThan">
      <formula>70</formula>
    </cfRule>
  </conditionalFormatting>
  <conditionalFormatting sqref="J229">
    <cfRule type="cellIs" dxfId="955" priority="9081" operator="lessThan">
      <formula>0</formula>
    </cfRule>
  </conditionalFormatting>
  <conditionalFormatting sqref="J229">
    <cfRule type="cellIs" dxfId="954" priority="9082" operator="greaterThan">
      <formula>70</formula>
    </cfRule>
  </conditionalFormatting>
  <conditionalFormatting sqref="K229">
    <cfRule type="cellIs" dxfId="953" priority="9083" operator="lessThan">
      <formula>0</formula>
    </cfRule>
  </conditionalFormatting>
  <conditionalFormatting sqref="K229">
    <cfRule type="cellIs" dxfId="952" priority="9084" operator="greaterThan">
      <formula>70</formula>
    </cfRule>
  </conditionalFormatting>
  <conditionalFormatting sqref="S229">
    <cfRule type="cellIs" dxfId="951" priority="9085" operator="lessThan">
      <formula>0</formula>
    </cfRule>
  </conditionalFormatting>
  <conditionalFormatting sqref="S229">
    <cfRule type="cellIs" dxfId="950" priority="9086" operator="greaterThan">
      <formula>70</formula>
    </cfRule>
  </conditionalFormatting>
  <conditionalFormatting sqref="T229">
    <cfRule type="cellIs" dxfId="949" priority="9087" operator="lessThan">
      <formula>0</formula>
    </cfRule>
  </conditionalFormatting>
  <conditionalFormatting sqref="T229">
    <cfRule type="cellIs" dxfId="948" priority="9088" operator="greaterThan">
      <formula>30</formula>
    </cfRule>
  </conditionalFormatting>
  <conditionalFormatting sqref="C230">
    <cfRule type="cellIs" dxfId="947" priority="9089" operator="lessThan">
      <formula>0</formula>
    </cfRule>
  </conditionalFormatting>
  <conditionalFormatting sqref="C230">
    <cfRule type="cellIs" dxfId="946" priority="9090" operator="greaterThan">
      <formula>100</formula>
    </cfRule>
  </conditionalFormatting>
  <conditionalFormatting sqref="F230">
    <cfRule type="cellIs" dxfId="945" priority="9091" operator="lessThan">
      <formula>0</formula>
    </cfRule>
  </conditionalFormatting>
  <conditionalFormatting sqref="F230">
    <cfRule type="cellIs" dxfId="944" priority="9092" operator="greaterThan">
      <formula>70</formula>
    </cfRule>
  </conditionalFormatting>
  <conditionalFormatting sqref="G230">
    <cfRule type="cellIs" dxfId="943" priority="9093" operator="lessThan">
      <formula>0</formula>
    </cfRule>
  </conditionalFormatting>
  <conditionalFormatting sqref="G230">
    <cfRule type="cellIs" dxfId="942" priority="9094" operator="greaterThan">
      <formula>70</formula>
    </cfRule>
  </conditionalFormatting>
  <conditionalFormatting sqref="H230">
    <cfRule type="cellIs" dxfId="941" priority="9095" operator="lessThan">
      <formula>0</formula>
    </cfRule>
  </conditionalFormatting>
  <conditionalFormatting sqref="H230">
    <cfRule type="cellIs" dxfId="940" priority="9096" operator="greaterThan">
      <formula>70</formula>
    </cfRule>
  </conditionalFormatting>
  <conditionalFormatting sqref="I230">
    <cfRule type="cellIs" dxfId="939" priority="9097" operator="lessThan">
      <formula>0</formula>
    </cfRule>
  </conditionalFormatting>
  <conditionalFormatting sqref="I230">
    <cfRule type="cellIs" dxfId="938" priority="9098" operator="greaterThan">
      <formula>70</formula>
    </cfRule>
  </conditionalFormatting>
  <conditionalFormatting sqref="J230">
    <cfRule type="cellIs" dxfId="937" priority="9099" operator="lessThan">
      <formula>0</formula>
    </cfRule>
  </conditionalFormatting>
  <conditionalFormatting sqref="J230">
    <cfRule type="cellIs" dxfId="936" priority="9100" operator="greaterThan">
      <formula>70</formula>
    </cfRule>
  </conditionalFormatting>
  <conditionalFormatting sqref="K230">
    <cfRule type="cellIs" dxfId="935" priority="9101" operator="lessThan">
      <formula>0</formula>
    </cfRule>
  </conditionalFormatting>
  <conditionalFormatting sqref="K230">
    <cfRule type="cellIs" dxfId="934" priority="9102" operator="greaterThan">
      <formula>70</formula>
    </cfRule>
  </conditionalFormatting>
  <conditionalFormatting sqref="S230">
    <cfRule type="cellIs" dxfId="933" priority="9103" operator="lessThan">
      <formula>0</formula>
    </cfRule>
  </conditionalFormatting>
  <conditionalFormatting sqref="S230">
    <cfRule type="cellIs" dxfId="932" priority="9104" operator="greaterThan">
      <formula>70</formula>
    </cfRule>
  </conditionalFormatting>
  <conditionalFormatting sqref="T230">
    <cfRule type="cellIs" dxfId="931" priority="9105" operator="lessThan">
      <formula>0</formula>
    </cfRule>
  </conditionalFormatting>
  <conditionalFormatting sqref="T230">
    <cfRule type="cellIs" dxfId="930" priority="9106" operator="greaterThan">
      <formula>30</formula>
    </cfRule>
  </conditionalFormatting>
  <conditionalFormatting sqref="C231">
    <cfRule type="cellIs" dxfId="929" priority="9107" operator="lessThan">
      <formula>0</formula>
    </cfRule>
  </conditionalFormatting>
  <conditionalFormatting sqref="C231">
    <cfRule type="cellIs" dxfId="928" priority="9108" operator="greaterThan">
      <formula>100</formula>
    </cfRule>
  </conditionalFormatting>
  <conditionalFormatting sqref="F231">
    <cfRule type="cellIs" dxfId="927" priority="9109" operator="lessThan">
      <formula>0</formula>
    </cfRule>
  </conditionalFormatting>
  <conditionalFormatting sqref="F231">
    <cfRule type="cellIs" dxfId="926" priority="9110" operator="greaterThan">
      <formula>70</formula>
    </cfRule>
  </conditionalFormatting>
  <conditionalFormatting sqref="G231">
    <cfRule type="cellIs" dxfId="925" priority="9111" operator="lessThan">
      <formula>0</formula>
    </cfRule>
  </conditionalFormatting>
  <conditionalFormatting sqref="G231">
    <cfRule type="cellIs" dxfId="924" priority="9112" operator="greaterThan">
      <formula>70</formula>
    </cfRule>
  </conditionalFormatting>
  <conditionalFormatting sqref="H231">
    <cfRule type="cellIs" dxfId="923" priority="9113" operator="lessThan">
      <formula>0</formula>
    </cfRule>
  </conditionalFormatting>
  <conditionalFormatting sqref="H231">
    <cfRule type="cellIs" dxfId="922" priority="9114" operator="greaterThan">
      <formula>70</formula>
    </cfRule>
  </conditionalFormatting>
  <conditionalFormatting sqref="I231">
    <cfRule type="cellIs" dxfId="921" priority="9115" operator="lessThan">
      <formula>0</formula>
    </cfRule>
  </conditionalFormatting>
  <conditionalFormatting sqref="I231">
    <cfRule type="cellIs" dxfId="920" priority="9116" operator="greaterThan">
      <formula>70</formula>
    </cfRule>
  </conditionalFormatting>
  <conditionalFormatting sqref="J231">
    <cfRule type="cellIs" dxfId="919" priority="9117" operator="lessThan">
      <formula>0</formula>
    </cfRule>
  </conditionalFormatting>
  <conditionalFormatting sqref="J231">
    <cfRule type="cellIs" dxfId="918" priority="9118" operator="greaterThan">
      <formula>70</formula>
    </cfRule>
  </conditionalFormatting>
  <conditionalFormatting sqref="K231">
    <cfRule type="cellIs" dxfId="917" priority="9119" operator="lessThan">
      <formula>0</formula>
    </cfRule>
  </conditionalFormatting>
  <conditionalFormatting sqref="K231">
    <cfRule type="cellIs" dxfId="916" priority="9120" operator="greaterThan">
      <formula>70</formula>
    </cfRule>
  </conditionalFormatting>
  <conditionalFormatting sqref="S231">
    <cfRule type="cellIs" dxfId="915" priority="9121" operator="lessThan">
      <formula>0</formula>
    </cfRule>
  </conditionalFormatting>
  <conditionalFormatting sqref="S231">
    <cfRule type="cellIs" dxfId="914" priority="9122" operator="greaterThan">
      <formula>70</formula>
    </cfRule>
  </conditionalFormatting>
  <conditionalFormatting sqref="T231">
    <cfRule type="cellIs" dxfId="913" priority="9123" operator="lessThan">
      <formula>0</formula>
    </cfRule>
  </conditionalFormatting>
  <conditionalFormatting sqref="T231">
    <cfRule type="cellIs" dxfId="912" priority="9124" operator="greaterThan">
      <formula>30</formula>
    </cfRule>
  </conditionalFormatting>
  <conditionalFormatting sqref="C232">
    <cfRule type="cellIs" dxfId="911" priority="9125" operator="lessThan">
      <formula>0</formula>
    </cfRule>
  </conditionalFormatting>
  <conditionalFormatting sqref="C232">
    <cfRule type="cellIs" dxfId="910" priority="9126" operator="greaterThan">
      <formula>100</formula>
    </cfRule>
  </conditionalFormatting>
  <conditionalFormatting sqref="F232">
    <cfRule type="cellIs" dxfId="909" priority="9127" operator="lessThan">
      <formula>0</formula>
    </cfRule>
  </conditionalFormatting>
  <conditionalFormatting sqref="F232">
    <cfRule type="cellIs" dxfId="908" priority="9128" operator="greaterThan">
      <formula>70</formula>
    </cfRule>
  </conditionalFormatting>
  <conditionalFormatting sqref="G232">
    <cfRule type="cellIs" dxfId="907" priority="9129" operator="lessThan">
      <formula>0</formula>
    </cfRule>
  </conditionalFormatting>
  <conditionalFormatting sqref="G232">
    <cfRule type="cellIs" dxfId="906" priority="9130" operator="greaterThan">
      <formula>70</formula>
    </cfRule>
  </conditionalFormatting>
  <conditionalFormatting sqref="H232">
    <cfRule type="cellIs" dxfId="905" priority="9131" operator="lessThan">
      <formula>0</formula>
    </cfRule>
  </conditionalFormatting>
  <conditionalFormatting sqref="H232">
    <cfRule type="cellIs" dxfId="904" priority="9132" operator="greaterThan">
      <formula>70</formula>
    </cfRule>
  </conditionalFormatting>
  <conditionalFormatting sqref="I232">
    <cfRule type="cellIs" dxfId="903" priority="9133" operator="lessThan">
      <formula>0</formula>
    </cfRule>
  </conditionalFormatting>
  <conditionalFormatting sqref="I232">
    <cfRule type="cellIs" dxfId="902" priority="9134" operator="greaterThan">
      <formula>70</formula>
    </cfRule>
  </conditionalFormatting>
  <conditionalFormatting sqref="J232">
    <cfRule type="cellIs" dxfId="901" priority="9135" operator="lessThan">
      <formula>0</formula>
    </cfRule>
  </conditionalFormatting>
  <conditionalFormatting sqref="J232">
    <cfRule type="cellIs" dxfId="900" priority="9136" operator="greaterThan">
      <formula>70</formula>
    </cfRule>
  </conditionalFormatting>
  <conditionalFormatting sqref="K232">
    <cfRule type="cellIs" dxfId="899" priority="9137" operator="lessThan">
      <formula>0</formula>
    </cfRule>
  </conditionalFormatting>
  <conditionalFormatting sqref="K232">
    <cfRule type="cellIs" dxfId="898" priority="9138" operator="greaterThan">
      <formula>70</formula>
    </cfRule>
  </conditionalFormatting>
  <conditionalFormatting sqref="S232">
    <cfRule type="cellIs" dxfId="897" priority="9139" operator="lessThan">
      <formula>0</formula>
    </cfRule>
  </conditionalFormatting>
  <conditionalFormatting sqref="S232">
    <cfRule type="cellIs" dxfId="896" priority="9140" operator="greaterThan">
      <formula>70</formula>
    </cfRule>
  </conditionalFormatting>
  <conditionalFormatting sqref="T232">
    <cfRule type="cellIs" dxfId="895" priority="9141" operator="lessThan">
      <formula>0</formula>
    </cfRule>
  </conditionalFormatting>
  <conditionalFormatting sqref="T232">
    <cfRule type="cellIs" dxfId="894" priority="9142" operator="greaterThan">
      <formula>30</formula>
    </cfRule>
  </conditionalFormatting>
  <conditionalFormatting sqref="C233">
    <cfRule type="cellIs" dxfId="893" priority="9143" operator="lessThan">
      <formula>0</formula>
    </cfRule>
  </conditionalFormatting>
  <conditionalFormatting sqref="C233">
    <cfRule type="cellIs" dxfId="892" priority="9144" operator="greaterThan">
      <formula>100</formula>
    </cfRule>
  </conditionalFormatting>
  <conditionalFormatting sqref="F233">
    <cfRule type="cellIs" dxfId="891" priority="9145" operator="lessThan">
      <formula>0</formula>
    </cfRule>
  </conditionalFormatting>
  <conditionalFormatting sqref="F233">
    <cfRule type="cellIs" dxfId="890" priority="9146" operator="greaterThan">
      <formula>70</formula>
    </cfRule>
  </conditionalFormatting>
  <conditionalFormatting sqref="G233">
    <cfRule type="cellIs" dxfId="889" priority="9147" operator="lessThan">
      <formula>0</formula>
    </cfRule>
  </conditionalFormatting>
  <conditionalFormatting sqref="G233">
    <cfRule type="cellIs" dxfId="888" priority="9148" operator="greaterThan">
      <formula>70</formula>
    </cfRule>
  </conditionalFormatting>
  <conditionalFormatting sqref="H233">
    <cfRule type="cellIs" dxfId="887" priority="9149" operator="lessThan">
      <formula>0</formula>
    </cfRule>
  </conditionalFormatting>
  <conditionalFormatting sqref="H233">
    <cfRule type="cellIs" dxfId="886" priority="9150" operator="greaterThan">
      <formula>70</formula>
    </cfRule>
  </conditionalFormatting>
  <conditionalFormatting sqref="I233">
    <cfRule type="cellIs" dxfId="885" priority="9151" operator="lessThan">
      <formula>0</formula>
    </cfRule>
  </conditionalFormatting>
  <conditionalFormatting sqref="I233">
    <cfRule type="cellIs" dxfId="884" priority="9152" operator="greaterThan">
      <formula>70</formula>
    </cfRule>
  </conditionalFormatting>
  <conditionalFormatting sqref="J233">
    <cfRule type="cellIs" dxfId="883" priority="9153" operator="lessThan">
      <formula>0</formula>
    </cfRule>
  </conditionalFormatting>
  <conditionalFormatting sqref="J233">
    <cfRule type="cellIs" dxfId="882" priority="9154" operator="greaterThan">
      <formula>70</formula>
    </cfRule>
  </conditionalFormatting>
  <conditionalFormatting sqref="K233">
    <cfRule type="cellIs" dxfId="881" priority="9155" operator="lessThan">
      <formula>0</formula>
    </cfRule>
  </conditionalFormatting>
  <conditionalFormatting sqref="K233">
    <cfRule type="cellIs" dxfId="880" priority="9156" operator="greaterThan">
      <formula>70</formula>
    </cfRule>
  </conditionalFormatting>
  <conditionalFormatting sqref="S233">
    <cfRule type="cellIs" dxfId="879" priority="9157" operator="lessThan">
      <formula>0</formula>
    </cfRule>
  </conditionalFormatting>
  <conditionalFormatting sqref="S233">
    <cfRule type="cellIs" dxfId="878" priority="9158" operator="greaterThan">
      <formula>70</formula>
    </cfRule>
  </conditionalFormatting>
  <conditionalFormatting sqref="T233">
    <cfRule type="cellIs" dxfId="877" priority="9159" operator="lessThan">
      <formula>0</formula>
    </cfRule>
  </conditionalFormatting>
  <conditionalFormatting sqref="T233">
    <cfRule type="cellIs" dxfId="876" priority="9160" operator="greaterThan">
      <formula>30</formula>
    </cfRule>
  </conditionalFormatting>
  <conditionalFormatting sqref="C234">
    <cfRule type="cellIs" dxfId="875" priority="9161" operator="lessThan">
      <formula>0</formula>
    </cfRule>
  </conditionalFormatting>
  <conditionalFormatting sqref="C234">
    <cfRule type="cellIs" dxfId="874" priority="9162" operator="greaterThan">
      <formula>100</formula>
    </cfRule>
  </conditionalFormatting>
  <conditionalFormatting sqref="F234">
    <cfRule type="cellIs" dxfId="873" priority="9163" operator="lessThan">
      <formula>0</formula>
    </cfRule>
  </conditionalFormatting>
  <conditionalFormatting sqref="F234">
    <cfRule type="cellIs" dxfId="872" priority="9164" operator="greaterThan">
      <formula>70</formula>
    </cfRule>
  </conditionalFormatting>
  <conditionalFormatting sqref="G234">
    <cfRule type="cellIs" dxfId="871" priority="9165" operator="lessThan">
      <formula>0</formula>
    </cfRule>
  </conditionalFormatting>
  <conditionalFormatting sqref="G234">
    <cfRule type="cellIs" dxfId="870" priority="9166" operator="greaterThan">
      <formula>70</formula>
    </cfRule>
  </conditionalFormatting>
  <conditionalFormatting sqref="H234">
    <cfRule type="cellIs" dxfId="869" priority="9167" operator="lessThan">
      <formula>0</formula>
    </cfRule>
  </conditionalFormatting>
  <conditionalFormatting sqref="H234">
    <cfRule type="cellIs" dxfId="868" priority="9168" operator="greaterThan">
      <formula>70</formula>
    </cfRule>
  </conditionalFormatting>
  <conditionalFormatting sqref="I234">
    <cfRule type="cellIs" dxfId="867" priority="9169" operator="lessThan">
      <formula>0</formula>
    </cfRule>
  </conditionalFormatting>
  <conditionalFormatting sqref="I234">
    <cfRule type="cellIs" dxfId="866" priority="9170" operator="greaterThan">
      <formula>70</formula>
    </cfRule>
  </conditionalFormatting>
  <conditionalFormatting sqref="J234">
    <cfRule type="cellIs" dxfId="865" priority="9171" operator="lessThan">
      <formula>0</formula>
    </cfRule>
  </conditionalFormatting>
  <conditionalFormatting sqref="J234">
    <cfRule type="cellIs" dxfId="864" priority="9172" operator="greaterThan">
      <formula>70</formula>
    </cfRule>
  </conditionalFormatting>
  <conditionalFormatting sqref="K234">
    <cfRule type="cellIs" dxfId="863" priority="9173" operator="lessThan">
      <formula>0</formula>
    </cfRule>
  </conditionalFormatting>
  <conditionalFormatting sqref="K234">
    <cfRule type="cellIs" dxfId="862" priority="9174" operator="greaterThan">
      <formula>70</formula>
    </cfRule>
  </conditionalFormatting>
  <conditionalFormatting sqref="S234">
    <cfRule type="cellIs" dxfId="861" priority="9175" operator="lessThan">
      <formula>0</formula>
    </cfRule>
  </conditionalFormatting>
  <conditionalFormatting sqref="S234">
    <cfRule type="cellIs" dxfId="860" priority="9176" operator="greaterThan">
      <formula>70</formula>
    </cfRule>
  </conditionalFormatting>
  <conditionalFormatting sqref="T234">
    <cfRule type="cellIs" dxfId="859" priority="9177" operator="lessThan">
      <formula>0</formula>
    </cfRule>
  </conditionalFormatting>
  <conditionalFormatting sqref="T234">
    <cfRule type="cellIs" dxfId="858" priority="9178" operator="greaterThan">
      <formula>30</formula>
    </cfRule>
  </conditionalFormatting>
  <conditionalFormatting sqref="C235">
    <cfRule type="cellIs" dxfId="857" priority="9179" operator="lessThan">
      <formula>0</formula>
    </cfRule>
  </conditionalFormatting>
  <conditionalFormatting sqref="C235">
    <cfRule type="cellIs" dxfId="856" priority="9180" operator="greaterThan">
      <formula>100</formula>
    </cfRule>
  </conditionalFormatting>
  <conditionalFormatting sqref="F235">
    <cfRule type="cellIs" dxfId="855" priority="9181" operator="lessThan">
      <formula>0</formula>
    </cfRule>
  </conditionalFormatting>
  <conditionalFormatting sqref="F235">
    <cfRule type="cellIs" dxfId="854" priority="9182" operator="greaterThan">
      <formula>70</formula>
    </cfRule>
  </conditionalFormatting>
  <conditionalFormatting sqref="G235">
    <cfRule type="cellIs" dxfId="853" priority="9183" operator="lessThan">
      <formula>0</formula>
    </cfRule>
  </conditionalFormatting>
  <conditionalFormatting sqref="G235">
    <cfRule type="cellIs" dxfId="852" priority="9184" operator="greaterThan">
      <formula>70</formula>
    </cfRule>
  </conditionalFormatting>
  <conditionalFormatting sqref="H235">
    <cfRule type="cellIs" dxfId="851" priority="9185" operator="lessThan">
      <formula>0</formula>
    </cfRule>
  </conditionalFormatting>
  <conditionalFormatting sqref="H235">
    <cfRule type="cellIs" dxfId="850" priority="9186" operator="greaterThan">
      <formula>70</formula>
    </cfRule>
  </conditionalFormatting>
  <conditionalFormatting sqref="I235">
    <cfRule type="cellIs" dxfId="849" priority="9187" operator="lessThan">
      <formula>0</formula>
    </cfRule>
  </conditionalFormatting>
  <conditionalFormatting sqref="I235">
    <cfRule type="cellIs" dxfId="848" priority="9188" operator="greaterThan">
      <formula>70</formula>
    </cfRule>
  </conditionalFormatting>
  <conditionalFormatting sqref="J235">
    <cfRule type="cellIs" dxfId="847" priority="9189" operator="lessThan">
      <formula>0</formula>
    </cfRule>
  </conditionalFormatting>
  <conditionalFormatting sqref="J235">
    <cfRule type="cellIs" dxfId="846" priority="9190" operator="greaterThan">
      <formula>70</formula>
    </cfRule>
  </conditionalFormatting>
  <conditionalFormatting sqref="K235">
    <cfRule type="cellIs" dxfId="845" priority="9191" operator="lessThan">
      <formula>0</formula>
    </cfRule>
  </conditionalFormatting>
  <conditionalFormatting sqref="K235">
    <cfRule type="cellIs" dxfId="844" priority="9192" operator="greaterThan">
      <formula>70</formula>
    </cfRule>
  </conditionalFormatting>
  <conditionalFormatting sqref="S235">
    <cfRule type="cellIs" dxfId="843" priority="9193" operator="lessThan">
      <formula>0</formula>
    </cfRule>
  </conditionalFormatting>
  <conditionalFormatting sqref="S235">
    <cfRule type="cellIs" dxfId="842" priority="9194" operator="greaterThan">
      <formula>70</formula>
    </cfRule>
  </conditionalFormatting>
  <conditionalFormatting sqref="T235">
    <cfRule type="cellIs" dxfId="841" priority="9195" operator="lessThan">
      <formula>0</formula>
    </cfRule>
  </conditionalFormatting>
  <conditionalFormatting sqref="T235">
    <cfRule type="cellIs" dxfId="840" priority="9196" operator="greaterThan">
      <formula>30</formula>
    </cfRule>
  </conditionalFormatting>
  <conditionalFormatting sqref="C236">
    <cfRule type="cellIs" dxfId="839" priority="9197" operator="lessThan">
      <formula>0</formula>
    </cfRule>
  </conditionalFormatting>
  <conditionalFormatting sqref="C236">
    <cfRule type="cellIs" dxfId="838" priority="9198" operator="greaterThan">
      <formula>100</formula>
    </cfRule>
  </conditionalFormatting>
  <conditionalFormatting sqref="F236">
    <cfRule type="cellIs" dxfId="837" priority="9199" operator="lessThan">
      <formula>0</formula>
    </cfRule>
  </conditionalFormatting>
  <conditionalFormatting sqref="F236">
    <cfRule type="cellIs" dxfId="836" priority="9200" operator="greaterThan">
      <formula>70</formula>
    </cfRule>
  </conditionalFormatting>
  <conditionalFormatting sqref="G236">
    <cfRule type="cellIs" dxfId="835" priority="9201" operator="lessThan">
      <formula>0</formula>
    </cfRule>
  </conditionalFormatting>
  <conditionalFormatting sqref="G236">
    <cfRule type="cellIs" dxfId="834" priority="9202" operator="greaterThan">
      <formula>70</formula>
    </cfRule>
  </conditionalFormatting>
  <conditionalFormatting sqref="H236">
    <cfRule type="cellIs" dxfId="833" priority="9203" operator="lessThan">
      <formula>0</formula>
    </cfRule>
  </conditionalFormatting>
  <conditionalFormatting sqref="H236">
    <cfRule type="cellIs" dxfId="832" priority="9204" operator="greaterThan">
      <formula>70</formula>
    </cfRule>
  </conditionalFormatting>
  <conditionalFormatting sqref="I236">
    <cfRule type="cellIs" dxfId="831" priority="9205" operator="lessThan">
      <formula>0</formula>
    </cfRule>
  </conditionalFormatting>
  <conditionalFormatting sqref="I236">
    <cfRule type="cellIs" dxfId="830" priority="9206" operator="greaterThan">
      <formula>70</formula>
    </cfRule>
  </conditionalFormatting>
  <conditionalFormatting sqref="J236">
    <cfRule type="cellIs" dxfId="829" priority="9207" operator="lessThan">
      <formula>0</formula>
    </cfRule>
  </conditionalFormatting>
  <conditionalFormatting sqref="J236">
    <cfRule type="cellIs" dxfId="828" priority="9208" operator="greaterThan">
      <formula>70</formula>
    </cfRule>
  </conditionalFormatting>
  <conditionalFormatting sqref="K236">
    <cfRule type="cellIs" dxfId="827" priority="9209" operator="lessThan">
      <formula>0</formula>
    </cfRule>
  </conditionalFormatting>
  <conditionalFormatting sqref="K236">
    <cfRule type="cellIs" dxfId="826" priority="9210" operator="greaterThan">
      <formula>70</formula>
    </cfRule>
  </conditionalFormatting>
  <conditionalFormatting sqref="S236">
    <cfRule type="cellIs" dxfId="825" priority="9211" operator="lessThan">
      <formula>0</formula>
    </cfRule>
  </conditionalFormatting>
  <conditionalFormatting sqref="S236">
    <cfRule type="cellIs" dxfId="824" priority="9212" operator="greaterThan">
      <formula>70</formula>
    </cfRule>
  </conditionalFormatting>
  <conditionalFormatting sqref="T236">
    <cfRule type="cellIs" dxfId="823" priority="9213" operator="lessThan">
      <formula>0</formula>
    </cfRule>
  </conditionalFormatting>
  <conditionalFormatting sqref="T236">
    <cfRule type="cellIs" dxfId="822" priority="9214" operator="greaterThan">
      <formula>30</formula>
    </cfRule>
  </conditionalFormatting>
  <conditionalFormatting sqref="C237">
    <cfRule type="cellIs" dxfId="821" priority="9215" operator="lessThan">
      <formula>0</formula>
    </cfRule>
  </conditionalFormatting>
  <conditionalFormatting sqref="C237">
    <cfRule type="cellIs" dxfId="820" priority="9216" operator="greaterThan">
      <formula>100</formula>
    </cfRule>
  </conditionalFormatting>
  <conditionalFormatting sqref="F237">
    <cfRule type="cellIs" dxfId="819" priority="9217" operator="lessThan">
      <formula>0</formula>
    </cfRule>
  </conditionalFormatting>
  <conditionalFormatting sqref="F237">
    <cfRule type="cellIs" dxfId="818" priority="9218" operator="greaterThan">
      <formula>70</formula>
    </cfRule>
  </conditionalFormatting>
  <conditionalFormatting sqref="G237">
    <cfRule type="cellIs" dxfId="817" priority="9219" operator="lessThan">
      <formula>0</formula>
    </cfRule>
  </conditionalFormatting>
  <conditionalFormatting sqref="G237">
    <cfRule type="cellIs" dxfId="816" priority="9220" operator="greaterThan">
      <formula>70</formula>
    </cfRule>
  </conditionalFormatting>
  <conditionalFormatting sqref="H237">
    <cfRule type="cellIs" dxfId="815" priority="9221" operator="lessThan">
      <formula>0</formula>
    </cfRule>
  </conditionalFormatting>
  <conditionalFormatting sqref="H237">
    <cfRule type="cellIs" dxfId="814" priority="9222" operator="greaterThan">
      <formula>70</formula>
    </cfRule>
  </conditionalFormatting>
  <conditionalFormatting sqref="I237">
    <cfRule type="cellIs" dxfId="813" priority="9223" operator="lessThan">
      <formula>0</formula>
    </cfRule>
  </conditionalFormatting>
  <conditionalFormatting sqref="I237">
    <cfRule type="cellIs" dxfId="812" priority="9224" operator="greaterThan">
      <formula>70</formula>
    </cfRule>
  </conditionalFormatting>
  <conditionalFormatting sqref="J237">
    <cfRule type="cellIs" dxfId="811" priority="9225" operator="lessThan">
      <formula>0</formula>
    </cfRule>
  </conditionalFormatting>
  <conditionalFormatting sqref="J237">
    <cfRule type="cellIs" dxfId="810" priority="9226" operator="greaterThan">
      <formula>70</formula>
    </cfRule>
  </conditionalFormatting>
  <conditionalFormatting sqref="K237">
    <cfRule type="cellIs" dxfId="809" priority="9227" operator="lessThan">
      <formula>0</formula>
    </cfRule>
  </conditionalFormatting>
  <conditionalFormatting sqref="K237">
    <cfRule type="cellIs" dxfId="808" priority="9228" operator="greaterThan">
      <formula>70</formula>
    </cfRule>
  </conditionalFormatting>
  <conditionalFormatting sqref="S237">
    <cfRule type="cellIs" dxfId="807" priority="9229" operator="lessThan">
      <formula>0</formula>
    </cfRule>
  </conditionalFormatting>
  <conditionalFormatting sqref="S237">
    <cfRule type="cellIs" dxfId="806" priority="9230" operator="greaterThan">
      <formula>70</formula>
    </cfRule>
  </conditionalFormatting>
  <conditionalFormatting sqref="T237">
    <cfRule type="cellIs" dxfId="805" priority="9231" operator="lessThan">
      <formula>0</formula>
    </cfRule>
  </conditionalFormatting>
  <conditionalFormatting sqref="T237">
    <cfRule type="cellIs" dxfId="804" priority="9232" operator="greaterThan">
      <formula>30</formula>
    </cfRule>
  </conditionalFormatting>
  <conditionalFormatting sqref="C238">
    <cfRule type="cellIs" dxfId="803" priority="9233" operator="lessThan">
      <formula>0</formula>
    </cfRule>
  </conditionalFormatting>
  <conditionalFormatting sqref="C238">
    <cfRule type="cellIs" dxfId="802" priority="9234" operator="greaterThan">
      <formula>100</formula>
    </cfRule>
  </conditionalFormatting>
  <conditionalFormatting sqref="F238">
    <cfRule type="cellIs" dxfId="801" priority="9235" operator="lessThan">
      <formula>0</formula>
    </cfRule>
  </conditionalFormatting>
  <conditionalFormatting sqref="F238">
    <cfRule type="cellIs" dxfId="800" priority="9236" operator="greaterThan">
      <formula>70</formula>
    </cfRule>
  </conditionalFormatting>
  <conditionalFormatting sqref="G238">
    <cfRule type="cellIs" dxfId="799" priority="9237" operator="lessThan">
      <formula>0</formula>
    </cfRule>
  </conditionalFormatting>
  <conditionalFormatting sqref="G238">
    <cfRule type="cellIs" dxfId="798" priority="9238" operator="greaterThan">
      <formula>70</formula>
    </cfRule>
  </conditionalFormatting>
  <conditionalFormatting sqref="H238">
    <cfRule type="cellIs" dxfId="797" priority="9239" operator="lessThan">
      <formula>0</formula>
    </cfRule>
  </conditionalFormatting>
  <conditionalFormatting sqref="H238">
    <cfRule type="cellIs" dxfId="796" priority="9240" operator="greaterThan">
      <formula>70</formula>
    </cfRule>
  </conditionalFormatting>
  <conditionalFormatting sqref="I238">
    <cfRule type="cellIs" dxfId="795" priority="9241" operator="lessThan">
      <formula>0</formula>
    </cfRule>
  </conditionalFormatting>
  <conditionalFormatting sqref="I238">
    <cfRule type="cellIs" dxfId="794" priority="9242" operator="greaterThan">
      <formula>70</formula>
    </cfRule>
  </conditionalFormatting>
  <conditionalFormatting sqref="J238">
    <cfRule type="cellIs" dxfId="793" priority="9243" operator="lessThan">
      <formula>0</formula>
    </cfRule>
  </conditionalFormatting>
  <conditionalFormatting sqref="J238">
    <cfRule type="cellIs" dxfId="792" priority="9244" operator="greaterThan">
      <formula>70</formula>
    </cfRule>
  </conditionalFormatting>
  <conditionalFormatting sqref="K238">
    <cfRule type="cellIs" dxfId="791" priority="9245" operator="lessThan">
      <formula>0</formula>
    </cfRule>
  </conditionalFormatting>
  <conditionalFormatting sqref="K238">
    <cfRule type="cellIs" dxfId="790" priority="9246" operator="greaterThan">
      <formula>70</formula>
    </cfRule>
  </conditionalFormatting>
  <conditionalFormatting sqref="S238">
    <cfRule type="cellIs" dxfId="789" priority="9247" operator="lessThan">
      <formula>0</formula>
    </cfRule>
  </conditionalFormatting>
  <conditionalFormatting sqref="S238">
    <cfRule type="cellIs" dxfId="788" priority="9248" operator="greaterThan">
      <formula>70</formula>
    </cfRule>
  </conditionalFormatting>
  <conditionalFormatting sqref="T238">
    <cfRule type="cellIs" dxfId="787" priority="9249" operator="lessThan">
      <formula>0</formula>
    </cfRule>
  </conditionalFormatting>
  <conditionalFormatting sqref="T238">
    <cfRule type="cellIs" dxfId="786" priority="9250" operator="greaterThan">
      <formula>30</formula>
    </cfRule>
  </conditionalFormatting>
  <conditionalFormatting sqref="C239">
    <cfRule type="cellIs" dxfId="785" priority="9251" operator="lessThan">
      <formula>0</formula>
    </cfRule>
  </conditionalFormatting>
  <conditionalFormatting sqref="C239">
    <cfRule type="cellIs" dxfId="784" priority="9252" operator="greaterThan">
      <formula>100</formula>
    </cfRule>
  </conditionalFormatting>
  <conditionalFormatting sqref="F239">
    <cfRule type="cellIs" dxfId="783" priority="9253" operator="lessThan">
      <formula>0</formula>
    </cfRule>
  </conditionalFormatting>
  <conditionalFormatting sqref="F239">
    <cfRule type="cellIs" dxfId="782" priority="9254" operator="greaterThan">
      <formula>70</formula>
    </cfRule>
  </conditionalFormatting>
  <conditionalFormatting sqref="G239">
    <cfRule type="cellIs" dxfId="781" priority="9255" operator="lessThan">
      <formula>0</formula>
    </cfRule>
  </conditionalFormatting>
  <conditionalFormatting sqref="G239">
    <cfRule type="cellIs" dxfId="780" priority="9256" operator="greaterThan">
      <formula>70</formula>
    </cfRule>
  </conditionalFormatting>
  <conditionalFormatting sqref="H239">
    <cfRule type="cellIs" dxfId="779" priority="9257" operator="lessThan">
      <formula>0</formula>
    </cfRule>
  </conditionalFormatting>
  <conditionalFormatting sqref="H239">
    <cfRule type="cellIs" dxfId="778" priority="9258" operator="greaterThan">
      <formula>70</formula>
    </cfRule>
  </conditionalFormatting>
  <conditionalFormatting sqref="I239">
    <cfRule type="cellIs" dxfId="777" priority="9259" operator="lessThan">
      <formula>0</formula>
    </cfRule>
  </conditionalFormatting>
  <conditionalFormatting sqref="I239">
    <cfRule type="cellIs" dxfId="776" priority="9260" operator="greaterThan">
      <formula>70</formula>
    </cfRule>
  </conditionalFormatting>
  <conditionalFormatting sqref="J239">
    <cfRule type="cellIs" dxfId="775" priority="9261" operator="lessThan">
      <formula>0</formula>
    </cfRule>
  </conditionalFormatting>
  <conditionalFormatting sqref="J239">
    <cfRule type="cellIs" dxfId="774" priority="9262" operator="greaterThan">
      <formula>70</formula>
    </cfRule>
  </conditionalFormatting>
  <conditionalFormatting sqref="K239">
    <cfRule type="cellIs" dxfId="773" priority="9263" operator="lessThan">
      <formula>0</formula>
    </cfRule>
  </conditionalFormatting>
  <conditionalFormatting sqref="K239">
    <cfRule type="cellIs" dxfId="772" priority="9264" operator="greaterThan">
      <formula>70</formula>
    </cfRule>
  </conditionalFormatting>
  <conditionalFormatting sqref="S239">
    <cfRule type="cellIs" dxfId="771" priority="9265" operator="lessThan">
      <formula>0</formula>
    </cfRule>
  </conditionalFormatting>
  <conditionalFormatting sqref="S239">
    <cfRule type="cellIs" dxfId="770" priority="9266" operator="greaterThan">
      <formula>70</formula>
    </cfRule>
  </conditionalFormatting>
  <conditionalFormatting sqref="T239">
    <cfRule type="cellIs" dxfId="769" priority="9267" operator="lessThan">
      <formula>0</formula>
    </cfRule>
  </conditionalFormatting>
  <conditionalFormatting sqref="T239">
    <cfRule type="cellIs" dxfId="768" priority="9268" operator="greaterThan">
      <formula>30</formula>
    </cfRule>
  </conditionalFormatting>
  <conditionalFormatting sqref="C240">
    <cfRule type="cellIs" dxfId="767" priority="9269" operator="lessThan">
      <formula>0</formula>
    </cfRule>
  </conditionalFormatting>
  <conditionalFormatting sqref="C240">
    <cfRule type="cellIs" dxfId="766" priority="9270" operator="greaterThan">
      <formula>100</formula>
    </cfRule>
  </conditionalFormatting>
  <conditionalFormatting sqref="F240">
    <cfRule type="cellIs" dxfId="765" priority="9271" operator="lessThan">
      <formula>0</formula>
    </cfRule>
  </conditionalFormatting>
  <conditionalFormatting sqref="F240">
    <cfRule type="cellIs" dxfId="764" priority="9272" operator="greaterThan">
      <formula>70</formula>
    </cfRule>
  </conditionalFormatting>
  <conditionalFormatting sqref="G240">
    <cfRule type="cellIs" dxfId="763" priority="9273" operator="lessThan">
      <formula>0</formula>
    </cfRule>
  </conditionalFormatting>
  <conditionalFormatting sqref="G240">
    <cfRule type="cellIs" dxfId="762" priority="9274" operator="greaterThan">
      <formula>70</formula>
    </cfRule>
  </conditionalFormatting>
  <conditionalFormatting sqref="H240">
    <cfRule type="cellIs" dxfId="761" priority="9275" operator="lessThan">
      <formula>0</formula>
    </cfRule>
  </conditionalFormatting>
  <conditionalFormatting sqref="H240">
    <cfRule type="cellIs" dxfId="760" priority="9276" operator="greaterThan">
      <formula>70</formula>
    </cfRule>
  </conditionalFormatting>
  <conditionalFormatting sqref="I240">
    <cfRule type="cellIs" dxfId="759" priority="9277" operator="lessThan">
      <formula>0</formula>
    </cfRule>
  </conditionalFormatting>
  <conditionalFormatting sqref="I240">
    <cfRule type="cellIs" dxfId="758" priority="9278" operator="greaterThan">
      <formula>70</formula>
    </cfRule>
  </conditionalFormatting>
  <conditionalFormatting sqref="J240">
    <cfRule type="cellIs" dxfId="757" priority="9279" operator="lessThan">
      <formula>0</formula>
    </cfRule>
  </conditionalFormatting>
  <conditionalFormatting sqref="J240">
    <cfRule type="cellIs" dxfId="756" priority="9280" operator="greaterThan">
      <formula>70</formula>
    </cfRule>
  </conditionalFormatting>
  <conditionalFormatting sqref="K240">
    <cfRule type="cellIs" dxfId="755" priority="9281" operator="lessThan">
      <formula>0</formula>
    </cfRule>
  </conditionalFormatting>
  <conditionalFormatting sqref="K240">
    <cfRule type="cellIs" dxfId="754" priority="9282" operator="greaterThan">
      <formula>70</formula>
    </cfRule>
  </conditionalFormatting>
  <conditionalFormatting sqref="S240">
    <cfRule type="cellIs" dxfId="753" priority="9283" operator="lessThan">
      <formula>0</formula>
    </cfRule>
  </conditionalFormatting>
  <conditionalFormatting sqref="S240">
    <cfRule type="cellIs" dxfId="752" priority="9284" operator="greaterThan">
      <formula>70</formula>
    </cfRule>
  </conditionalFormatting>
  <conditionalFormatting sqref="T240">
    <cfRule type="cellIs" dxfId="751" priority="9285" operator="lessThan">
      <formula>0</formula>
    </cfRule>
  </conditionalFormatting>
  <conditionalFormatting sqref="T240">
    <cfRule type="cellIs" dxfId="750" priority="9286" operator="greaterThan">
      <formula>30</formula>
    </cfRule>
  </conditionalFormatting>
  <conditionalFormatting sqref="C241">
    <cfRule type="cellIs" dxfId="749" priority="9287" operator="lessThan">
      <formula>0</formula>
    </cfRule>
  </conditionalFormatting>
  <conditionalFormatting sqref="C241">
    <cfRule type="cellIs" dxfId="748" priority="9288" operator="greaterThan">
      <formula>100</formula>
    </cfRule>
  </conditionalFormatting>
  <conditionalFormatting sqref="F241">
    <cfRule type="cellIs" dxfId="747" priority="9289" operator="lessThan">
      <formula>0</formula>
    </cfRule>
  </conditionalFormatting>
  <conditionalFormatting sqref="F241">
    <cfRule type="cellIs" dxfId="746" priority="9290" operator="greaterThan">
      <formula>70</formula>
    </cfRule>
  </conditionalFormatting>
  <conditionalFormatting sqref="G241">
    <cfRule type="cellIs" dxfId="745" priority="9291" operator="lessThan">
      <formula>0</formula>
    </cfRule>
  </conditionalFormatting>
  <conditionalFormatting sqref="G241">
    <cfRule type="cellIs" dxfId="744" priority="9292" operator="greaterThan">
      <formula>70</formula>
    </cfRule>
  </conditionalFormatting>
  <conditionalFormatting sqref="H241">
    <cfRule type="cellIs" dxfId="743" priority="9293" operator="lessThan">
      <formula>0</formula>
    </cfRule>
  </conditionalFormatting>
  <conditionalFormatting sqref="H241">
    <cfRule type="cellIs" dxfId="742" priority="9294" operator="greaterThan">
      <formula>70</formula>
    </cfRule>
  </conditionalFormatting>
  <conditionalFormatting sqref="I241">
    <cfRule type="cellIs" dxfId="741" priority="9295" operator="lessThan">
      <formula>0</formula>
    </cfRule>
  </conditionalFormatting>
  <conditionalFormatting sqref="I241">
    <cfRule type="cellIs" dxfId="740" priority="9296" operator="greaterThan">
      <formula>70</formula>
    </cfRule>
  </conditionalFormatting>
  <conditionalFormatting sqref="J241">
    <cfRule type="cellIs" dxfId="739" priority="9297" operator="lessThan">
      <formula>0</formula>
    </cfRule>
  </conditionalFormatting>
  <conditionalFormatting sqref="J241">
    <cfRule type="cellIs" dxfId="738" priority="9298" operator="greaterThan">
      <formula>70</formula>
    </cfRule>
  </conditionalFormatting>
  <conditionalFormatting sqref="K241">
    <cfRule type="cellIs" dxfId="737" priority="9299" operator="lessThan">
      <formula>0</formula>
    </cfRule>
  </conditionalFormatting>
  <conditionalFormatting sqref="K241">
    <cfRule type="cellIs" dxfId="736" priority="9300" operator="greaterThan">
      <formula>70</formula>
    </cfRule>
  </conditionalFormatting>
  <conditionalFormatting sqref="S241">
    <cfRule type="cellIs" dxfId="735" priority="9301" operator="lessThan">
      <formula>0</formula>
    </cfRule>
  </conditionalFormatting>
  <conditionalFormatting sqref="S241">
    <cfRule type="cellIs" dxfId="734" priority="9302" operator="greaterThan">
      <formula>70</formula>
    </cfRule>
  </conditionalFormatting>
  <conditionalFormatting sqref="T241">
    <cfRule type="cellIs" dxfId="733" priority="9303" operator="lessThan">
      <formula>0</formula>
    </cfRule>
  </conditionalFormatting>
  <conditionalFormatting sqref="T241">
    <cfRule type="cellIs" dxfId="732" priority="9304" operator="greaterThan">
      <formula>30</formula>
    </cfRule>
  </conditionalFormatting>
  <conditionalFormatting sqref="C242">
    <cfRule type="cellIs" dxfId="731" priority="9305" operator="lessThan">
      <formula>0</formula>
    </cfRule>
  </conditionalFormatting>
  <conditionalFormatting sqref="C242">
    <cfRule type="cellIs" dxfId="730" priority="9306" operator="greaterThan">
      <formula>100</formula>
    </cfRule>
  </conditionalFormatting>
  <conditionalFormatting sqref="F242">
    <cfRule type="cellIs" dxfId="729" priority="9307" operator="lessThan">
      <formula>0</formula>
    </cfRule>
  </conditionalFormatting>
  <conditionalFormatting sqref="F242">
    <cfRule type="cellIs" dxfId="728" priority="9308" operator="greaterThan">
      <formula>70</formula>
    </cfRule>
  </conditionalFormatting>
  <conditionalFormatting sqref="G242">
    <cfRule type="cellIs" dxfId="727" priority="9309" operator="lessThan">
      <formula>0</formula>
    </cfRule>
  </conditionalFormatting>
  <conditionalFormatting sqref="G242">
    <cfRule type="cellIs" dxfId="726" priority="9310" operator="greaterThan">
      <formula>70</formula>
    </cfRule>
  </conditionalFormatting>
  <conditionalFormatting sqref="H242">
    <cfRule type="cellIs" dxfId="725" priority="9311" operator="lessThan">
      <formula>0</formula>
    </cfRule>
  </conditionalFormatting>
  <conditionalFormatting sqref="H242">
    <cfRule type="cellIs" dxfId="724" priority="9312" operator="greaterThan">
      <formula>70</formula>
    </cfRule>
  </conditionalFormatting>
  <conditionalFormatting sqref="I242">
    <cfRule type="cellIs" dxfId="723" priority="9313" operator="lessThan">
      <formula>0</formula>
    </cfRule>
  </conditionalFormatting>
  <conditionalFormatting sqref="I242">
    <cfRule type="cellIs" dxfId="722" priority="9314" operator="greaterThan">
      <formula>70</formula>
    </cfRule>
  </conditionalFormatting>
  <conditionalFormatting sqref="J242">
    <cfRule type="cellIs" dxfId="721" priority="9315" operator="lessThan">
      <formula>0</formula>
    </cfRule>
  </conditionalFormatting>
  <conditionalFormatting sqref="J242">
    <cfRule type="cellIs" dxfId="720" priority="9316" operator="greaterThan">
      <formula>70</formula>
    </cfRule>
  </conditionalFormatting>
  <conditionalFormatting sqref="K242">
    <cfRule type="cellIs" dxfId="719" priority="9317" operator="lessThan">
      <formula>0</formula>
    </cfRule>
  </conditionalFormatting>
  <conditionalFormatting sqref="K242">
    <cfRule type="cellIs" dxfId="718" priority="9318" operator="greaterThan">
      <formula>70</formula>
    </cfRule>
  </conditionalFormatting>
  <conditionalFormatting sqref="S242">
    <cfRule type="cellIs" dxfId="717" priority="9319" operator="lessThan">
      <formula>0</formula>
    </cfRule>
  </conditionalFormatting>
  <conditionalFormatting sqref="S242">
    <cfRule type="cellIs" dxfId="716" priority="9320" operator="greaterThan">
      <formula>70</formula>
    </cfRule>
  </conditionalFormatting>
  <conditionalFormatting sqref="T242">
    <cfRule type="cellIs" dxfId="715" priority="9321" operator="lessThan">
      <formula>0</formula>
    </cfRule>
  </conditionalFormatting>
  <conditionalFormatting sqref="T242">
    <cfRule type="cellIs" dxfId="714" priority="9322" operator="greaterThan">
      <formula>30</formula>
    </cfRule>
  </conditionalFormatting>
  <conditionalFormatting sqref="C243">
    <cfRule type="cellIs" dxfId="713" priority="9323" operator="lessThan">
      <formula>0</formula>
    </cfRule>
  </conditionalFormatting>
  <conditionalFormatting sqref="C243">
    <cfRule type="cellIs" dxfId="712" priority="9324" operator="greaterThan">
      <formula>100</formula>
    </cfRule>
  </conditionalFormatting>
  <conditionalFormatting sqref="F243">
    <cfRule type="cellIs" dxfId="711" priority="9325" operator="lessThan">
      <formula>0</formula>
    </cfRule>
  </conditionalFormatting>
  <conditionalFormatting sqref="F243">
    <cfRule type="cellIs" dxfId="710" priority="9326" operator="greaterThan">
      <formula>70</formula>
    </cfRule>
  </conditionalFormatting>
  <conditionalFormatting sqref="G243">
    <cfRule type="cellIs" dxfId="709" priority="9327" operator="lessThan">
      <formula>0</formula>
    </cfRule>
  </conditionalFormatting>
  <conditionalFormatting sqref="G243">
    <cfRule type="cellIs" dxfId="708" priority="9328" operator="greaterThan">
      <formula>70</formula>
    </cfRule>
  </conditionalFormatting>
  <conditionalFormatting sqref="H243">
    <cfRule type="cellIs" dxfId="707" priority="9329" operator="lessThan">
      <formula>0</formula>
    </cfRule>
  </conditionalFormatting>
  <conditionalFormatting sqref="H243">
    <cfRule type="cellIs" dxfId="706" priority="9330" operator="greaterThan">
      <formula>70</formula>
    </cfRule>
  </conditionalFormatting>
  <conditionalFormatting sqref="I243">
    <cfRule type="cellIs" dxfId="705" priority="9331" operator="lessThan">
      <formula>0</formula>
    </cfRule>
  </conditionalFormatting>
  <conditionalFormatting sqref="I243">
    <cfRule type="cellIs" dxfId="704" priority="9332" operator="greaterThan">
      <formula>70</formula>
    </cfRule>
  </conditionalFormatting>
  <conditionalFormatting sqref="J243">
    <cfRule type="cellIs" dxfId="703" priority="9333" operator="lessThan">
      <formula>0</formula>
    </cfRule>
  </conditionalFormatting>
  <conditionalFormatting sqref="J243">
    <cfRule type="cellIs" dxfId="702" priority="9334" operator="greaterThan">
      <formula>70</formula>
    </cfRule>
  </conditionalFormatting>
  <conditionalFormatting sqref="K243">
    <cfRule type="cellIs" dxfId="701" priority="9335" operator="lessThan">
      <formula>0</formula>
    </cfRule>
  </conditionalFormatting>
  <conditionalFormatting sqref="K243">
    <cfRule type="cellIs" dxfId="700" priority="9336" operator="greaterThan">
      <formula>70</formula>
    </cfRule>
  </conditionalFormatting>
  <conditionalFormatting sqref="S243">
    <cfRule type="cellIs" dxfId="699" priority="9337" operator="lessThan">
      <formula>0</formula>
    </cfRule>
  </conditionalFormatting>
  <conditionalFormatting sqref="S243">
    <cfRule type="cellIs" dxfId="698" priority="9338" operator="greaterThan">
      <formula>70</formula>
    </cfRule>
  </conditionalFormatting>
  <conditionalFormatting sqref="T243">
    <cfRule type="cellIs" dxfId="697" priority="9339" operator="lessThan">
      <formula>0</formula>
    </cfRule>
  </conditionalFormatting>
  <conditionalFormatting sqref="T243">
    <cfRule type="cellIs" dxfId="696" priority="9340" operator="greaterThan">
      <formula>30</formula>
    </cfRule>
  </conditionalFormatting>
  <conditionalFormatting sqref="C244">
    <cfRule type="cellIs" dxfId="695" priority="9341" operator="lessThan">
      <formula>0</formula>
    </cfRule>
  </conditionalFormatting>
  <conditionalFormatting sqref="C244">
    <cfRule type="cellIs" dxfId="694" priority="9342" operator="greaterThan">
      <formula>100</formula>
    </cfRule>
  </conditionalFormatting>
  <conditionalFormatting sqref="F244">
    <cfRule type="cellIs" dxfId="693" priority="9343" operator="lessThan">
      <formula>0</formula>
    </cfRule>
  </conditionalFormatting>
  <conditionalFormatting sqref="F244">
    <cfRule type="cellIs" dxfId="692" priority="9344" operator="greaterThan">
      <formula>70</formula>
    </cfRule>
  </conditionalFormatting>
  <conditionalFormatting sqref="G244">
    <cfRule type="cellIs" dxfId="691" priority="9345" operator="lessThan">
      <formula>0</formula>
    </cfRule>
  </conditionalFormatting>
  <conditionalFormatting sqref="G244">
    <cfRule type="cellIs" dxfId="690" priority="9346" operator="greaterThan">
      <formula>70</formula>
    </cfRule>
  </conditionalFormatting>
  <conditionalFormatting sqref="H244">
    <cfRule type="cellIs" dxfId="689" priority="9347" operator="lessThan">
      <formula>0</formula>
    </cfRule>
  </conditionalFormatting>
  <conditionalFormatting sqref="H244">
    <cfRule type="cellIs" dxfId="688" priority="9348" operator="greaterThan">
      <formula>70</formula>
    </cfRule>
  </conditionalFormatting>
  <conditionalFormatting sqref="I244">
    <cfRule type="cellIs" dxfId="687" priority="9349" operator="lessThan">
      <formula>0</formula>
    </cfRule>
  </conditionalFormatting>
  <conditionalFormatting sqref="I244">
    <cfRule type="cellIs" dxfId="686" priority="9350" operator="greaterThan">
      <formula>70</formula>
    </cfRule>
  </conditionalFormatting>
  <conditionalFormatting sqref="J244">
    <cfRule type="cellIs" dxfId="685" priority="9351" operator="lessThan">
      <formula>0</formula>
    </cfRule>
  </conditionalFormatting>
  <conditionalFormatting sqref="J244">
    <cfRule type="cellIs" dxfId="684" priority="9352" operator="greaterThan">
      <formula>70</formula>
    </cfRule>
  </conditionalFormatting>
  <conditionalFormatting sqref="K244">
    <cfRule type="cellIs" dxfId="683" priority="9353" operator="lessThan">
      <formula>0</formula>
    </cfRule>
  </conditionalFormatting>
  <conditionalFormatting sqref="K244">
    <cfRule type="cellIs" dxfId="682" priority="9354" operator="greaterThan">
      <formula>70</formula>
    </cfRule>
  </conditionalFormatting>
  <conditionalFormatting sqref="S244">
    <cfRule type="cellIs" dxfId="681" priority="9355" operator="lessThan">
      <formula>0</formula>
    </cfRule>
  </conditionalFormatting>
  <conditionalFormatting sqref="S244">
    <cfRule type="cellIs" dxfId="680" priority="9356" operator="greaterThan">
      <formula>70</formula>
    </cfRule>
  </conditionalFormatting>
  <conditionalFormatting sqref="T244">
    <cfRule type="cellIs" dxfId="679" priority="9357" operator="lessThan">
      <formula>0</formula>
    </cfRule>
  </conditionalFormatting>
  <conditionalFormatting sqref="T244">
    <cfRule type="cellIs" dxfId="678" priority="9358" operator="greaterThan">
      <formula>30</formula>
    </cfRule>
  </conditionalFormatting>
  <conditionalFormatting sqref="C245">
    <cfRule type="cellIs" dxfId="677" priority="9359" operator="lessThan">
      <formula>0</formula>
    </cfRule>
  </conditionalFormatting>
  <conditionalFormatting sqref="C245">
    <cfRule type="cellIs" dxfId="676" priority="9360" operator="greaterThan">
      <formula>100</formula>
    </cfRule>
  </conditionalFormatting>
  <conditionalFormatting sqref="F245">
    <cfRule type="cellIs" dxfId="675" priority="9361" operator="lessThan">
      <formula>0</formula>
    </cfRule>
  </conditionalFormatting>
  <conditionalFormatting sqref="F245">
    <cfRule type="cellIs" dxfId="674" priority="9362" operator="greaterThan">
      <formula>70</formula>
    </cfRule>
  </conditionalFormatting>
  <conditionalFormatting sqref="G245">
    <cfRule type="cellIs" dxfId="673" priority="9363" operator="lessThan">
      <formula>0</formula>
    </cfRule>
  </conditionalFormatting>
  <conditionalFormatting sqref="G245">
    <cfRule type="cellIs" dxfId="672" priority="9364" operator="greaterThan">
      <formula>70</formula>
    </cfRule>
  </conditionalFormatting>
  <conditionalFormatting sqref="H245">
    <cfRule type="cellIs" dxfId="671" priority="9365" operator="lessThan">
      <formula>0</formula>
    </cfRule>
  </conditionalFormatting>
  <conditionalFormatting sqref="H245">
    <cfRule type="cellIs" dxfId="670" priority="9366" operator="greaterThan">
      <formula>70</formula>
    </cfRule>
  </conditionalFormatting>
  <conditionalFormatting sqref="I245">
    <cfRule type="cellIs" dxfId="669" priority="9367" operator="lessThan">
      <formula>0</formula>
    </cfRule>
  </conditionalFormatting>
  <conditionalFormatting sqref="I245">
    <cfRule type="cellIs" dxfId="668" priority="9368" operator="greaterThan">
      <formula>70</formula>
    </cfRule>
  </conditionalFormatting>
  <conditionalFormatting sqref="J245">
    <cfRule type="cellIs" dxfId="667" priority="9369" operator="lessThan">
      <formula>0</formula>
    </cfRule>
  </conditionalFormatting>
  <conditionalFormatting sqref="J245">
    <cfRule type="cellIs" dxfId="666" priority="9370" operator="greaterThan">
      <formula>70</formula>
    </cfRule>
  </conditionalFormatting>
  <conditionalFormatting sqref="K245">
    <cfRule type="cellIs" dxfId="665" priority="9371" operator="lessThan">
      <formula>0</formula>
    </cfRule>
  </conditionalFormatting>
  <conditionalFormatting sqref="K245">
    <cfRule type="cellIs" dxfId="664" priority="9372" operator="greaterThan">
      <formula>70</formula>
    </cfRule>
  </conditionalFormatting>
  <conditionalFormatting sqref="S245">
    <cfRule type="cellIs" dxfId="663" priority="9373" operator="lessThan">
      <formula>0</formula>
    </cfRule>
  </conditionalFormatting>
  <conditionalFormatting sqref="S245">
    <cfRule type="cellIs" dxfId="662" priority="9374" operator="greaterThan">
      <formula>70</formula>
    </cfRule>
  </conditionalFormatting>
  <conditionalFormatting sqref="T245">
    <cfRule type="cellIs" dxfId="661" priority="9375" operator="lessThan">
      <formula>0</formula>
    </cfRule>
  </conditionalFormatting>
  <conditionalFormatting sqref="T245">
    <cfRule type="cellIs" dxfId="660" priority="9376" operator="greaterThan">
      <formula>30</formula>
    </cfRule>
  </conditionalFormatting>
  <conditionalFormatting sqref="C246">
    <cfRule type="cellIs" dxfId="659" priority="9377" operator="lessThan">
      <formula>0</formula>
    </cfRule>
  </conditionalFormatting>
  <conditionalFormatting sqref="C246">
    <cfRule type="cellIs" dxfId="658" priority="9378" operator="greaterThan">
      <formula>100</formula>
    </cfRule>
  </conditionalFormatting>
  <conditionalFormatting sqref="F246">
    <cfRule type="cellIs" dxfId="657" priority="9379" operator="lessThan">
      <formula>0</formula>
    </cfRule>
  </conditionalFormatting>
  <conditionalFormatting sqref="F246">
    <cfRule type="cellIs" dxfId="656" priority="9380" operator="greaterThan">
      <formula>70</formula>
    </cfRule>
  </conditionalFormatting>
  <conditionalFormatting sqref="G246">
    <cfRule type="cellIs" dxfId="655" priority="9381" operator="lessThan">
      <formula>0</formula>
    </cfRule>
  </conditionalFormatting>
  <conditionalFormatting sqref="G246">
    <cfRule type="cellIs" dxfId="654" priority="9382" operator="greaterThan">
      <formula>70</formula>
    </cfRule>
  </conditionalFormatting>
  <conditionalFormatting sqref="H246">
    <cfRule type="cellIs" dxfId="653" priority="9383" operator="lessThan">
      <formula>0</formula>
    </cfRule>
  </conditionalFormatting>
  <conditionalFormatting sqref="H246">
    <cfRule type="cellIs" dxfId="652" priority="9384" operator="greaterThan">
      <formula>70</formula>
    </cfRule>
  </conditionalFormatting>
  <conditionalFormatting sqref="I246">
    <cfRule type="cellIs" dxfId="651" priority="9385" operator="lessThan">
      <formula>0</formula>
    </cfRule>
  </conditionalFormatting>
  <conditionalFormatting sqref="I246">
    <cfRule type="cellIs" dxfId="650" priority="9386" operator="greaterThan">
      <formula>70</formula>
    </cfRule>
  </conditionalFormatting>
  <conditionalFormatting sqref="J246">
    <cfRule type="cellIs" dxfId="649" priority="9387" operator="lessThan">
      <formula>0</formula>
    </cfRule>
  </conditionalFormatting>
  <conditionalFormatting sqref="J246">
    <cfRule type="cellIs" dxfId="648" priority="9388" operator="greaterThan">
      <formula>70</formula>
    </cfRule>
  </conditionalFormatting>
  <conditionalFormatting sqref="K246">
    <cfRule type="cellIs" dxfId="647" priority="9389" operator="lessThan">
      <formula>0</formula>
    </cfRule>
  </conditionalFormatting>
  <conditionalFormatting sqref="K246">
    <cfRule type="cellIs" dxfId="646" priority="9390" operator="greaterThan">
      <formula>70</formula>
    </cfRule>
  </conditionalFormatting>
  <conditionalFormatting sqref="S246">
    <cfRule type="cellIs" dxfId="645" priority="9391" operator="lessThan">
      <formula>0</formula>
    </cfRule>
  </conditionalFormatting>
  <conditionalFormatting sqref="S246">
    <cfRule type="cellIs" dxfId="644" priority="9392" operator="greaterThan">
      <formula>70</formula>
    </cfRule>
  </conditionalFormatting>
  <conditionalFormatting sqref="T246">
    <cfRule type="cellIs" dxfId="643" priority="9393" operator="lessThan">
      <formula>0</formula>
    </cfRule>
  </conditionalFormatting>
  <conditionalFormatting sqref="T246">
    <cfRule type="cellIs" dxfId="642" priority="9394" operator="greaterThan">
      <formula>30</formula>
    </cfRule>
  </conditionalFormatting>
  <conditionalFormatting sqref="C247">
    <cfRule type="cellIs" dxfId="641" priority="9395" operator="lessThan">
      <formula>0</formula>
    </cfRule>
  </conditionalFormatting>
  <conditionalFormatting sqref="C247">
    <cfRule type="cellIs" dxfId="640" priority="9396" operator="greaterThan">
      <formula>100</formula>
    </cfRule>
  </conditionalFormatting>
  <conditionalFormatting sqref="F247">
    <cfRule type="cellIs" dxfId="639" priority="9397" operator="lessThan">
      <formula>0</formula>
    </cfRule>
  </conditionalFormatting>
  <conditionalFormatting sqref="F247">
    <cfRule type="cellIs" dxfId="638" priority="9398" operator="greaterThan">
      <formula>70</formula>
    </cfRule>
  </conditionalFormatting>
  <conditionalFormatting sqref="G247">
    <cfRule type="cellIs" dxfId="637" priority="9399" operator="lessThan">
      <formula>0</formula>
    </cfRule>
  </conditionalFormatting>
  <conditionalFormatting sqref="G247">
    <cfRule type="cellIs" dxfId="636" priority="9400" operator="greaterThan">
      <formula>70</formula>
    </cfRule>
  </conditionalFormatting>
  <conditionalFormatting sqref="H247">
    <cfRule type="cellIs" dxfId="635" priority="9401" operator="lessThan">
      <formula>0</formula>
    </cfRule>
  </conditionalFormatting>
  <conditionalFormatting sqref="H247">
    <cfRule type="cellIs" dxfId="634" priority="9402" operator="greaterThan">
      <formula>70</formula>
    </cfRule>
  </conditionalFormatting>
  <conditionalFormatting sqref="I247">
    <cfRule type="cellIs" dxfId="633" priority="9403" operator="lessThan">
      <formula>0</formula>
    </cfRule>
  </conditionalFormatting>
  <conditionalFormatting sqref="I247">
    <cfRule type="cellIs" dxfId="632" priority="9404" operator="greaterThan">
      <formula>70</formula>
    </cfRule>
  </conditionalFormatting>
  <conditionalFormatting sqref="J247">
    <cfRule type="cellIs" dxfId="631" priority="9405" operator="lessThan">
      <formula>0</formula>
    </cfRule>
  </conditionalFormatting>
  <conditionalFormatting sqref="J247">
    <cfRule type="cellIs" dxfId="630" priority="9406" operator="greaterThan">
      <formula>70</formula>
    </cfRule>
  </conditionalFormatting>
  <conditionalFormatting sqref="K247">
    <cfRule type="cellIs" dxfId="629" priority="9407" operator="lessThan">
      <formula>0</formula>
    </cfRule>
  </conditionalFormatting>
  <conditionalFormatting sqref="K247">
    <cfRule type="cellIs" dxfId="628" priority="9408" operator="greaterThan">
      <formula>70</formula>
    </cfRule>
  </conditionalFormatting>
  <conditionalFormatting sqref="S247">
    <cfRule type="cellIs" dxfId="627" priority="9409" operator="lessThan">
      <formula>0</formula>
    </cfRule>
  </conditionalFormatting>
  <conditionalFormatting sqref="S247">
    <cfRule type="cellIs" dxfId="626" priority="9410" operator="greaterThan">
      <formula>70</formula>
    </cfRule>
  </conditionalFormatting>
  <conditionalFormatting sqref="T247">
    <cfRule type="cellIs" dxfId="625" priority="9411" operator="lessThan">
      <formula>0</formula>
    </cfRule>
  </conditionalFormatting>
  <conditionalFormatting sqref="T247">
    <cfRule type="cellIs" dxfId="624" priority="9412" operator="greaterThan">
      <formula>30</formula>
    </cfRule>
  </conditionalFormatting>
  <conditionalFormatting sqref="C248">
    <cfRule type="cellIs" dxfId="623" priority="9413" operator="lessThan">
      <formula>0</formula>
    </cfRule>
  </conditionalFormatting>
  <conditionalFormatting sqref="C248">
    <cfRule type="cellIs" dxfId="622" priority="9414" operator="greaterThan">
      <formula>100</formula>
    </cfRule>
  </conditionalFormatting>
  <conditionalFormatting sqref="F248">
    <cfRule type="cellIs" dxfId="621" priority="9415" operator="lessThan">
      <formula>0</formula>
    </cfRule>
  </conditionalFormatting>
  <conditionalFormatting sqref="F248">
    <cfRule type="cellIs" dxfId="620" priority="9416" operator="greaterThan">
      <formula>70</formula>
    </cfRule>
  </conditionalFormatting>
  <conditionalFormatting sqref="G248">
    <cfRule type="cellIs" dxfId="619" priority="9417" operator="lessThan">
      <formula>0</formula>
    </cfRule>
  </conditionalFormatting>
  <conditionalFormatting sqref="G248">
    <cfRule type="cellIs" dxfId="618" priority="9418" operator="greaterThan">
      <formula>70</formula>
    </cfRule>
  </conditionalFormatting>
  <conditionalFormatting sqref="H248">
    <cfRule type="cellIs" dxfId="617" priority="9419" operator="lessThan">
      <formula>0</formula>
    </cfRule>
  </conditionalFormatting>
  <conditionalFormatting sqref="H248">
    <cfRule type="cellIs" dxfId="616" priority="9420" operator="greaterThan">
      <formula>70</formula>
    </cfRule>
  </conditionalFormatting>
  <conditionalFormatting sqref="I248">
    <cfRule type="cellIs" dxfId="615" priority="9421" operator="lessThan">
      <formula>0</formula>
    </cfRule>
  </conditionalFormatting>
  <conditionalFormatting sqref="I248">
    <cfRule type="cellIs" dxfId="614" priority="9422" operator="greaterThan">
      <formula>70</formula>
    </cfRule>
  </conditionalFormatting>
  <conditionalFormatting sqref="J248">
    <cfRule type="cellIs" dxfId="613" priority="9423" operator="lessThan">
      <formula>0</formula>
    </cfRule>
  </conditionalFormatting>
  <conditionalFormatting sqref="J248">
    <cfRule type="cellIs" dxfId="612" priority="9424" operator="greaterThan">
      <formula>70</formula>
    </cfRule>
  </conditionalFormatting>
  <conditionalFormatting sqref="K248">
    <cfRule type="cellIs" dxfId="611" priority="9425" operator="lessThan">
      <formula>0</formula>
    </cfRule>
  </conditionalFormatting>
  <conditionalFormatting sqref="K248">
    <cfRule type="cellIs" dxfId="610" priority="9426" operator="greaterThan">
      <formula>70</formula>
    </cfRule>
  </conditionalFormatting>
  <conditionalFormatting sqref="S248">
    <cfRule type="cellIs" dxfId="609" priority="9427" operator="lessThan">
      <formula>0</formula>
    </cfRule>
  </conditionalFormatting>
  <conditionalFormatting sqref="S248">
    <cfRule type="cellIs" dxfId="608" priority="9428" operator="greaterThan">
      <formula>70</formula>
    </cfRule>
  </conditionalFormatting>
  <conditionalFormatting sqref="T248">
    <cfRule type="cellIs" dxfId="607" priority="9429" operator="lessThan">
      <formula>0</formula>
    </cfRule>
  </conditionalFormatting>
  <conditionalFormatting sqref="T248">
    <cfRule type="cellIs" dxfId="606" priority="9430" operator="greaterThan">
      <formula>30</formula>
    </cfRule>
  </conditionalFormatting>
  <conditionalFormatting sqref="C249">
    <cfRule type="cellIs" dxfId="605" priority="9431" operator="lessThan">
      <formula>0</formula>
    </cfRule>
  </conditionalFormatting>
  <conditionalFormatting sqref="C249">
    <cfRule type="cellIs" dxfId="604" priority="9432" operator="greaterThan">
      <formula>100</formula>
    </cfRule>
  </conditionalFormatting>
  <conditionalFormatting sqref="F249">
    <cfRule type="cellIs" dxfId="603" priority="9433" operator="lessThan">
      <formula>0</formula>
    </cfRule>
  </conditionalFormatting>
  <conditionalFormatting sqref="F249">
    <cfRule type="cellIs" dxfId="602" priority="9434" operator="greaterThan">
      <formula>70</formula>
    </cfRule>
  </conditionalFormatting>
  <conditionalFormatting sqref="G249">
    <cfRule type="cellIs" dxfId="601" priority="9435" operator="lessThan">
      <formula>0</formula>
    </cfRule>
  </conditionalFormatting>
  <conditionalFormatting sqref="G249">
    <cfRule type="cellIs" dxfId="600" priority="9436" operator="greaterThan">
      <formula>70</formula>
    </cfRule>
  </conditionalFormatting>
  <conditionalFormatting sqref="H249">
    <cfRule type="cellIs" dxfId="599" priority="9437" operator="lessThan">
      <formula>0</formula>
    </cfRule>
  </conditionalFormatting>
  <conditionalFormatting sqref="H249">
    <cfRule type="cellIs" dxfId="598" priority="9438" operator="greaterThan">
      <formula>70</formula>
    </cfRule>
  </conditionalFormatting>
  <conditionalFormatting sqref="I249">
    <cfRule type="cellIs" dxfId="597" priority="9439" operator="lessThan">
      <formula>0</formula>
    </cfRule>
  </conditionalFormatting>
  <conditionalFormatting sqref="I249">
    <cfRule type="cellIs" dxfId="596" priority="9440" operator="greaterThan">
      <formula>70</formula>
    </cfRule>
  </conditionalFormatting>
  <conditionalFormatting sqref="J249">
    <cfRule type="cellIs" dxfId="595" priority="9441" operator="lessThan">
      <formula>0</formula>
    </cfRule>
  </conditionalFormatting>
  <conditionalFormatting sqref="J249">
    <cfRule type="cellIs" dxfId="594" priority="9442" operator="greaterThan">
      <formula>70</formula>
    </cfRule>
  </conditionalFormatting>
  <conditionalFormatting sqref="K249">
    <cfRule type="cellIs" dxfId="593" priority="9443" operator="lessThan">
      <formula>0</formula>
    </cfRule>
  </conditionalFormatting>
  <conditionalFormatting sqref="K249">
    <cfRule type="cellIs" dxfId="592" priority="9444" operator="greaterThan">
      <formula>70</formula>
    </cfRule>
  </conditionalFormatting>
  <conditionalFormatting sqref="S249">
    <cfRule type="cellIs" dxfId="591" priority="9445" operator="lessThan">
      <formula>0</formula>
    </cfRule>
  </conditionalFormatting>
  <conditionalFormatting sqref="S249">
    <cfRule type="cellIs" dxfId="590" priority="9446" operator="greaterThan">
      <formula>70</formula>
    </cfRule>
  </conditionalFormatting>
  <conditionalFormatting sqref="T249">
    <cfRule type="cellIs" dxfId="589" priority="9447" operator="lessThan">
      <formula>0</formula>
    </cfRule>
  </conditionalFormatting>
  <conditionalFormatting sqref="T249">
    <cfRule type="cellIs" dxfId="588" priority="9448" operator="greaterThan">
      <formula>30</formula>
    </cfRule>
  </conditionalFormatting>
  <conditionalFormatting sqref="C250">
    <cfRule type="cellIs" dxfId="587" priority="9449" operator="lessThan">
      <formula>0</formula>
    </cfRule>
  </conditionalFormatting>
  <conditionalFormatting sqref="C250">
    <cfRule type="cellIs" dxfId="586" priority="9450" operator="greaterThan">
      <formula>100</formula>
    </cfRule>
  </conditionalFormatting>
  <conditionalFormatting sqref="F250">
    <cfRule type="cellIs" dxfId="585" priority="9451" operator="lessThan">
      <formula>0</formula>
    </cfRule>
  </conditionalFormatting>
  <conditionalFormatting sqref="F250">
    <cfRule type="cellIs" dxfId="584" priority="9452" operator="greaterThan">
      <formula>70</formula>
    </cfRule>
  </conditionalFormatting>
  <conditionalFormatting sqref="G250">
    <cfRule type="cellIs" dxfId="583" priority="9453" operator="lessThan">
      <formula>0</formula>
    </cfRule>
  </conditionalFormatting>
  <conditionalFormatting sqref="G250">
    <cfRule type="cellIs" dxfId="582" priority="9454" operator="greaterThan">
      <formula>70</formula>
    </cfRule>
  </conditionalFormatting>
  <conditionalFormatting sqref="H250">
    <cfRule type="cellIs" dxfId="581" priority="9455" operator="lessThan">
      <formula>0</formula>
    </cfRule>
  </conditionalFormatting>
  <conditionalFormatting sqref="H250">
    <cfRule type="cellIs" dxfId="580" priority="9456" operator="greaterThan">
      <formula>70</formula>
    </cfRule>
  </conditionalFormatting>
  <conditionalFormatting sqref="I250">
    <cfRule type="cellIs" dxfId="579" priority="9457" operator="lessThan">
      <formula>0</formula>
    </cfRule>
  </conditionalFormatting>
  <conditionalFormatting sqref="I250">
    <cfRule type="cellIs" dxfId="578" priority="9458" operator="greaterThan">
      <formula>70</formula>
    </cfRule>
  </conditionalFormatting>
  <conditionalFormatting sqref="J250">
    <cfRule type="cellIs" dxfId="577" priority="9459" operator="lessThan">
      <formula>0</formula>
    </cfRule>
  </conditionalFormatting>
  <conditionalFormatting sqref="J250">
    <cfRule type="cellIs" dxfId="576" priority="9460" operator="greaterThan">
      <formula>70</formula>
    </cfRule>
  </conditionalFormatting>
  <conditionalFormatting sqref="K250">
    <cfRule type="cellIs" dxfId="575" priority="9461" operator="lessThan">
      <formula>0</formula>
    </cfRule>
  </conditionalFormatting>
  <conditionalFormatting sqref="K250">
    <cfRule type="cellIs" dxfId="574" priority="9462" operator="greaterThan">
      <formula>70</formula>
    </cfRule>
  </conditionalFormatting>
  <conditionalFormatting sqref="S250">
    <cfRule type="cellIs" dxfId="573" priority="9463" operator="lessThan">
      <formula>0</formula>
    </cfRule>
  </conditionalFormatting>
  <conditionalFormatting sqref="S250">
    <cfRule type="cellIs" dxfId="572" priority="9464" operator="greaterThan">
      <formula>70</formula>
    </cfRule>
  </conditionalFormatting>
  <conditionalFormatting sqref="T250">
    <cfRule type="cellIs" dxfId="571" priority="9465" operator="lessThan">
      <formula>0</formula>
    </cfRule>
  </conditionalFormatting>
  <conditionalFormatting sqref="T250">
    <cfRule type="cellIs" dxfId="570" priority="9466" operator="greaterThan">
      <formula>30</formula>
    </cfRule>
  </conditionalFormatting>
  <conditionalFormatting sqref="C251">
    <cfRule type="cellIs" dxfId="569" priority="9467" operator="lessThan">
      <formula>0</formula>
    </cfRule>
  </conditionalFormatting>
  <conditionalFormatting sqref="C251">
    <cfRule type="cellIs" dxfId="568" priority="9468" operator="greaterThan">
      <formula>100</formula>
    </cfRule>
  </conditionalFormatting>
  <conditionalFormatting sqref="F251">
    <cfRule type="cellIs" dxfId="567" priority="9469" operator="lessThan">
      <formula>0</formula>
    </cfRule>
  </conditionalFormatting>
  <conditionalFormatting sqref="F251">
    <cfRule type="cellIs" dxfId="566" priority="9470" operator="greaterThan">
      <formula>70</formula>
    </cfRule>
  </conditionalFormatting>
  <conditionalFormatting sqref="G251">
    <cfRule type="cellIs" dxfId="565" priority="9471" operator="lessThan">
      <formula>0</formula>
    </cfRule>
  </conditionalFormatting>
  <conditionalFormatting sqref="G251">
    <cfRule type="cellIs" dxfId="564" priority="9472" operator="greaterThan">
      <formula>70</formula>
    </cfRule>
  </conditionalFormatting>
  <conditionalFormatting sqref="H251">
    <cfRule type="cellIs" dxfId="563" priority="9473" operator="lessThan">
      <formula>0</formula>
    </cfRule>
  </conditionalFormatting>
  <conditionalFormatting sqref="H251">
    <cfRule type="cellIs" dxfId="562" priority="9474" operator="greaterThan">
      <formula>70</formula>
    </cfRule>
  </conditionalFormatting>
  <conditionalFormatting sqref="I251">
    <cfRule type="cellIs" dxfId="561" priority="9475" operator="lessThan">
      <formula>0</formula>
    </cfRule>
  </conditionalFormatting>
  <conditionalFormatting sqref="I251">
    <cfRule type="cellIs" dxfId="560" priority="9476" operator="greaterThan">
      <formula>70</formula>
    </cfRule>
  </conditionalFormatting>
  <conditionalFormatting sqref="J251">
    <cfRule type="cellIs" dxfId="559" priority="9477" operator="lessThan">
      <formula>0</formula>
    </cfRule>
  </conditionalFormatting>
  <conditionalFormatting sqref="J251">
    <cfRule type="cellIs" dxfId="558" priority="9478" operator="greaterThan">
      <formula>70</formula>
    </cfRule>
  </conditionalFormatting>
  <conditionalFormatting sqref="K251">
    <cfRule type="cellIs" dxfId="557" priority="9479" operator="lessThan">
      <formula>0</formula>
    </cfRule>
  </conditionalFormatting>
  <conditionalFormatting sqref="K251">
    <cfRule type="cellIs" dxfId="556" priority="9480" operator="greaterThan">
      <formula>70</formula>
    </cfRule>
  </conditionalFormatting>
  <conditionalFormatting sqref="S251">
    <cfRule type="cellIs" dxfId="555" priority="9481" operator="lessThan">
      <formula>0</formula>
    </cfRule>
  </conditionalFormatting>
  <conditionalFormatting sqref="S251">
    <cfRule type="cellIs" dxfId="554" priority="9482" operator="greaterThan">
      <formula>70</formula>
    </cfRule>
  </conditionalFormatting>
  <conditionalFormatting sqref="T251">
    <cfRule type="cellIs" dxfId="553" priority="9483" operator="lessThan">
      <formula>0</formula>
    </cfRule>
  </conditionalFormatting>
  <conditionalFormatting sqref="T251">
    <cfRule type="cellIs" dxfId="552" priority="9484" operator="greaterThan">
      <formula>30</formula>
    </cfRule>
  </conditionalFormatting>
  <conditionalFormatting sqref="C252">
    <cfRule type="cellIs" dxfId="551" priority="9485" operator="lessThan">
      <formula>0</formula>
    </cfRule>
  </conditionalFormatting>
  <conditionalFormatting sqref="C252">
    <cfRule type="cellIs" dxfId="550" priority="9486" operator="greaterThan">
      <formula>100</formula>
    </cfRule>
  </conditionalFormatting>
  <conditionalFormatting sqref="F252">
    <cfRule type="cellIs" dxfId="549" priority="9487" operator="lessThan">
      <formula>0</formula>
    </cfRule>
  </conditionalFormatting>
  <conditionalFormatting sqref="F252">
    <cfRule type="cellIs" dxfId="548" priority="9488" operator="greaterThan">
      <formula>70</formula>
    </cfRule>
  </conditionalFormatting>
  <conditionalFormatting sqref="G252">
    <cfRule type="cellIs" dxfId="547" priority="9489" operator="lessThan">
      <formula>0</formula>
    </cfRule>
  </conditionalFormatting>
  <conditionalFormatting sqref="G252">
    <cfRule type="cellIs" dxfId="546" priority="9490" operator="greaterThan">
      <formula>70</formula>
    </cfRule>
  </conditionalFormatting>
  <conditionalFormatting sqref="H252">
    <cfRule type="cellIs" dxfId="545" priority="9491" operator="lessThan">
      <formula>0</formula>
    </cfRule>
  </conditionalFormatting>
  <conditionalFormatting sqref="H252">
    <cfRule type="cellIs" dxfId="544" priority="9492" operator="greaterThan">
      <formula>70</formula>
    </cfRule>
  </conditionalFormatting>
  <conditionalFormatting sqref="I252">
    <cfRule type="cellIs" dxfId="543" priority="9493" operator="lessThan">
      <formula>0</formula>
    </cfRule>
  </conditionalFormatting>
  <conditionalFormatting sqref="I252">
    <cfRule type="cellIs" dxfId="542" priority="9494" operator="greaterThan">
      <formula>70</formula>
    </cfRule>
  </conditionalFormatting>
  <conditionalFormatting sqref="J252">
    <cfRule type="cellIs" dxfId="541" priority="9495" operator="lessThan">
      <formula>0</formula>
    </cfRule>
  </conditionalFormatting>
  <conditionalFormatting sqref="J252">
    <cfRule type="cellIs" dxfId="540" priority="9496" operator="greaterThan">
      <formula>70</formula>
    </cfRule>
  </conditionalFormatting>
  <conditionalFormatting sqref="K252">
    <cfRule type="cellIs" dxfId="539" priority="9497" operator="lessThan">
      <formula>0</formula>
    </cfRule>
  </conditionalFormatting>
  <conditionalFormatting sqref="K252">
    <cfRule type="cellIs" dxfId="538" priority="9498" operator="greaterThan">
      <formula>70</formula>
    </cfRule>
  </conditionalFormatting>
  <conditionalFormatting sqref="S252">
    <cfRule type="cellIs" dxfId="537" priority="9499" operator="lessThan">
      <formula>0</formula>
    </cfRule>
  </conditionalFormatting>
  <conditionalFormatting sqref="S252">
    <cfRule type="cellIs" dxfId="536" priority="9500" operator="greaterThan">
      <formula>70</formula>
    </cfRule>
  </conditionalFormatting>
  <conditionalFormatting sqref="T252">
    <cfRule type="cellIs" dxfId="535" priority="9501" operator="lessThan">
      <formula>0</formula>
    </cfRule>
  </conditionalFormatting>
  <conditionalFormatting sqref="T252">
    <cfRule type="cellIs" dxfId="534" priority="9502" operator="greaterThan">
      <formula>30</formula>
    </cfRule>
  </conditionalFormatting>
  <conditionalFormatting sqref="C253">
    <cfRule type="cellIs" dxfId="533" priority="9503" operator="lessThan">
      <formula>0</formula>
    </cfRule>
  </conditionalFormatting>
  <conditionalFormatting sqref="C253">
    <cfRule type="cellIs" dxfId="532" priority="9504" operator="greaterThan">
      <formula>100</formula>
    </cfRule>
  </conditionalFormatting>
  <conditionalFormatting sqref="F253">
    <cfRule type="cellIs" dxfId="531" priority="9505" operator="lessThan">
      <formula>0</formula>
    </cfRule>
  </conditionalFormatting>
  <conditionalFormatting sqref="F253">
    <cfRule type="cellIs" dxfId="530" priority="9506" operator="greaterThan">
      <formula>70</formula>
    </cfRule>
  </conditionalFormatting>
  <conditionalFormatting sqref="G253">
    <cfRule type="cellIs" dxfId="529" priority="9507" operator="lessThan">
      <formula>0</formula>
    </cfRule>
  </conditionalFormatting>
  <conditionalFormatting sqref="G253">
    <cfRule type="cellIs" dxfId="528" priority="9508" operator="greaterThan">
      <formula>70</formula>
    </cfRule>
  </conditionalFormatting>
  <conditionalFormatting sqref="H253">
    <cfRule type="cellIs" dxfId="527" priority="9509" operator="lessThan">
      <formula>0</formula>
    </cfRule>
  </conditionalFormatting>
  <conditionalFormatting sqref="H253">
    <cfRule type="cellIs" dxfId="526" priority="9510" operator="greaterThan">
      <formula>70</formula>
    </cfRule>
  </conditionalFormatting>
  <conditionalFormatting sqref="I253">
    <cfRule type="cellIs" dxfId="525" priority="9511" operator="lessThan">
      <formula>0</formula>
    </cfRule>
  </conditionalFormatting>
  <conditionalFormatting sqref="I253">
    <cfRule type="cellIs" dxfId="524" priority="9512" operator="greaterThan">
      <formula>70</formula>
    </cfRule>
  </conditionalFormatting>
  <conditionalFormatting sqref="J253">
    <cfRule type="cellIs" dxfId="523" priority="9513" operator="lessThan">
      <formula>0</formula>
    </cfRule>
  </conditionalFormatting>
  <conditionalFormatting sqref="J253">
    <cfRule type="cellIs" dxfId="522" priority="9514" operator="greaterThan">
      <formula>70</formula>
    </cfRule>
  </conditionalFormatting>
  <conditionalFormatting sqref="K253">
    <cfRule type="cellIs" dxfId="521" priority="9515" operator="lessThan">
      <formula>0</formula>
    </cfRule>
  </conditionalFormatting>
  <conditionalFormatting sqref="K253">
    <cfRule type="cellIs" dxfId="520" priority="9516" operator="greaterThan">
      <formula>70</formula>
    </cfRule>
  </conditionalFormatting>
  <conditionalFormatting sqref="S253">
    <cfRule type="cellIs" dxfId="519" priority="9517" operator="lessThan">
      <formula>0</formula>
    </cfRule>
  </conditionalFormatting>
  <conditionalFormatting sqref="S253">
    <cfRule type="cellIs" dxfId="518" priority="9518" operator="greaterThan">
      <formula>70</formula>
    </cfRule>
  </conditionalFormatting>
  <conditionalFormatting sqref="T253">
    <cfRule type="cellIs" dxfId="517" priority="9519" operator="lessThan">
      <formula>0</formula>
    </cfRule>
  </conditionalFormatting>
  <conditionalFormatting sqref="T253">
    <cfRule type="cellIs" dxfId="516" priority="9520" operator="greaterThan">
      <formula>30</formula>
    </cfRule>
  </conditionalFormatting>
  <conditionalFormatting sqref="C254">
    <cfRule type="cellIs" dxfId="515" priority="9521" operator="lessThan">
      <formula>0</formula>
    </cfRule>
  </conditionalFormatting>
  <conditionalFormatting sqref="C254">
    <cfRule type="cellIs" dxfId="514" priority="9522" operator="greaterThan">
      <formula>100</formula>
    </cfRule>
  </conditionalFormatting>
  <conditionalFormatting sqref="F254">
    <cfRule type="cellIs" dxfId="513" priority="9523" operator="lessThan">
      <formula>0</formula>
    </cfRule>
  </conditionalFormatting>
  <conditionalFormatting sqref="F254">
    <cfRule type="cellIs" dxfId="512" priority="9524" operator="greaterThan">
      <formula>70</formula>
    </cfRule>
  </conditionalFormatting>
  <conditionalFormatting sqref="G254">
    <cfRule type="cellIs" dxfId="511" priority="9525" operator="lessThan">
      <formula>0</formula>
    </cfRule>
  </conditionalFormatting>
  <conditionalFormatting sqref="G254">
    <cfRule type="cellIs" dxfId="510" priority="9526" operator="greaterThan">
      <formula>70</formula>
    </cfRule>
  </conditionalFormatting>
  <conditionalFormatting sqref="H254">
    <cfRule type="cellIs" dxfId="509" priority="9527" operator="lessThan">
      <formula>0</formula>
    </cfRule>
  </conditionalFormatting>
  <conditionalFormatting sqref="H254">
    <cfRule type="cellIs" dxfId="508" priority="9528" operator="greaterThan">
      <formula>70</formula>
    </cfRule>
  </conditionalFormatting>
  <conditionalFormatting sqref="I254">
    <cfRule type="cellIs" dxfId="507" priority="9529" operator="lessThan">
      <formula>0</formula>
    </cfRule>
  </conditionalFormatting>
  <conditionalFormatting sqref="I254">
    <cfRule type="cellIs" dxfId="506" priority="9530" operator="greaterThan">
      <formula>70</formula>
    </cfRule>
  </conditionalFormatting>
  <conditionalFormatting sqref="J254">
    <cfRule type="cellIs" dxfId="505" priority="9531" operator="lessThan">
      <formula>0</formula>
    </cfRule>
  </conditionalFormatting>
  <conditionalFormatting sqref="J254">
    <cfRule type="cellIs" dxfId="504" priority="9532" operator="greaterThan">
      <formula>70</formula>
    </cfRule>
  </conditionalFormatting>
  <conditionalFormatting sqref="K254">
    <cfRule type="cellIs" dxfId="503" priority="9533" operator="lessThan">
      <formula>0</formula>
    </cfRule>
  </conditionalFormatting>
  <conditionalFormatting sqref="K254">
    <cfRule type="cellIs" dxfId="502" priority="9534" operator="greaterThan">
      <formula>70</formula>
    </cfRule>
  </conditionalFormatting>
  <conditionalFormatting sqref="S254">
    <cfRule type="cellIs" dxfId="501" priority="9535" operator="lessThan">
      <formula>0</formula>
    </cfRule>
  </conditionalFormatting>
  <conditionalFormatting sqref="S254">
    <cfRule type="cellIs" dxfId="500" priority="9536" operator="greaterThan">
      <formula>70</formula>
    </cfRule>
  </conditionalFormatting>
  <conditionalFormatting sqref="T254">
    <cfRule type="cellIs" dxfId="499" priority="9537" operator="lessThan">
      <formula>0</formula>
    </cfRule>
  </conditionalFormatting>
  <conditionalFormatting sqref="T254">
    <cfRule type="cellIs" dxfId="498" priority="9538" operator="greaterThan">
      <formula>30</formula>
    </cfRule>
  </conditionalFormatting>
  <conditionalFormatting sqref="C255">
    <cfRule type="cellIs" dxfId="497" priority="9539" operator="lessThan">
      <formula>0</formula>
    </cfRule>
  </conditionalFormatting>
  <conditionalFormatting sqref="C255">
    <cfRule type="cellIs" dxfId="496" priority="9540" operator="greaterThan">
      <formula>100</formula>
    </cfRule>
  </conditionalFormatting>
  <conditionalFormatting sqref="F255">
    <cfRule type="cellIs" dxfId="495" priority="9541" operator="lessThan">
      <formula>0</formula>
    </cfRule>
  </conditionalFormatting>
  <conditionalFormatting sqref="F255">
    <cfRule type="cellIs" dxfId="494" priority="9542" operator="greaterThan">
      <formula>70</formula>
    </cfRule>
  </conditionalFormatting>
  <conditionalFormatting sqref="G255">
    <cfRule type="cellIs" dxfId="493" priority="9543" operator="lessThan">
      <formula>0</formula>
    </cfRule>
  </conditionalFormatting>
  <conditionalFormatting sqref="G255">
    <cfRule type="cellIs" dxfId="492" priority="9544" operator="greaterThan">
      <formula>70</formula>
    </cfRule>
  </conditionalFormatting>
  <conditionalFormatting sqref="H255">
    <cfRule type="cellIs" dxfId="491" priority="9545" operator="lessThan">
      <formula>0</formula>
    </cfRule>
  </conditionalFormatting>
  <conditionalFormatting sqref="H255">
    <cfRule type="cellIs" dxfId="490" priority="9546" operator="greaterThan">
      <formula>70</formula>
    </cfRule>
  </conditionalFormatting>
  <conditionalFormatting sqref="I255">
    <cfRule type="cellIs" dxfId="489" priority="9547" operator="lessThan">
      <formula>0</formula>
    </cfRule>
  </conditionalFormatting>
  <conditionalFormatting sqref="I255">
    <cfRule type="cellIs" dxfId="488" priority="9548" operator="greaterThan">
      <formula>70</formula>
    </cfRule>
  </conditionalFormatting>
  <conditionalFormatting sqref="J255">
    <cfRule type="cellIs" dxfId="487" priority="9549" operator="lessThan">
      <formula>0</formula>
    </cfRule>
  </conditionalFormatting>
  <conditionalFormatting sqref="J255">
    <cfRule type="cellIs" dxfId="486" priority="9550" operator="greaterThan">
      <formula>70</formula>
    </cfRule>
  </conditionalFormatting>
  <conditionalFormatting sqref="K255">
    <cfRule type="cellIs" dxfId="485" priority="9551" operator="lessThan">
      <formula>0</formula>
    </cfRule>
  </conditionalFormatting>
  <conditionalFormatting sqref="K255">
    <cfRule type="cellIs" dxfId="484" priority="9552" operator="greaterThan">
      <formula>70</formula>
    </cfRule>
  </conditionalFormatting>
  <conditionalFormatting sqref="S255">
    <cfRule type="cellIs" dxfId="483" priority="9553" operator="lessThan">
      <formula>0</formula>
    </cfRule>
  </conditionalFormatting>
  <conditionalFormatting sqref="S255">
    <cfRule type="cellIs" dxfId="482" priority="9554" operator="greaterThan">
      <formula>70</formula>
    </cfRule>
  </conditionalFormatting>
  <conditionalFormatting sqref="T255">
    <cfRule type="cellIs" dxfId="481" priority="9555" operator="lessThan">
      <formula>0</formula>
    </cfRule>
  </conditionalFormatting>
  <conditionalFormatting sqref="T255">
    <cfRule type="cellIs" dxfId="480" priority="9556" operator="greaterThan">
      <formula>30</formula>
    </cfRule>
  </conditionalFormatting>
  <conditionalFormatting sqref="C256">
    <cfRule type="cellIs" dxfId="479" priority="9557" operator="lessThan">
      <formula>0</formula>
    </cfRule>
  </conditionalFormatting>
  <conditionalFormatting sqref="C256">
    <cfRule type="cellIs" dxfId="478" priority="9558" operator="greaterThan">
      <formula>100</formula>
    </cfRule>
  </conditionalFormatting>
  <conditionalFormatting sqref="F256">
    <cfRule type="cellIs" dxfId="477" priority="9559" operator="lessThan">
      <formula>0</formula>
    </cfRule>
  </conditionalFormatting>
  <conditionalFormatting sqref="F256">
    <cfRule type="cellIs" dxfId="476" priority="9560" operator="greaterThan">
      <formula>70</formula>
    </cfRule>
  </conditionalFormatting>
  <conditionalFormatting sqref="G256">
    <cfRule type="cellIs" dxfId="475" priority="9561" operator="lessThan">
      <formula>0</formula>
    </cfRule>
  </conditionalFormatting>
  <conditionalFormatting sqref="G256">
    <cfRule type="cellIs" dxfId="474" priority="9562" operator="greaterThan">
      <formula>70</formula>
    </cfRule>
  </conditionalFormatting>
  <conditionalFormatting sqref="H256">
    <cfRule type="cellIs" dxfId="473" priority="9563" operator="lessThan">
      <formula>0</formula>
    </cfRule>
  </conditionalFormatting>
  <conditionalFormatting sqref="H256">
    <cfRule type="cellIs" dxfId="472" priority="9564" operator="greaterThan">
      <formula>70</formula>
    </cfRule>
  </conditionalFormatting>
  <conditionalFormatting sqref="I256">
    <cfRule type="cellIs" dxfId="471" priority="9565" operator="lessThan">
      <formula>0</formula>
    </cfRule>
  </conditionalFormatting>
  <conditionalFormatting sqref="I256">
    <cfRule type="cellIs" dxfId="470" priority="9566" operator="greaterThan">
      <formula>70</formula>
    </cfRule>
  </conditionalFormatting>
  <conditionalFormatting sqref="J256">
    <cfRule type="cellIs" dxfId="469" priority="9567" operator="lessThan">
      <formula>0</formula>
    </cfRule>
  </conditionalFormatting>
  <conditionalFormatting sqref="J256">
    <cfRule type="cellIs" dxfId="468" priority="9568" operator="greaterThan">
      <formula>70</formula>
    </cfRule>
  </conditionalFormatting>
  <conditionalFormatting sqref="K256">
    <cfRule type="cellIs" dxfId="467" priority="9569" operator="lessThan">
      <formula>0</formula>
    </cfRule>
  </conditionalFormatting>
  <conditionalFormatting sqref="K256">
    <cfRule type="cellIs" dxfId="466" priority="9570" operator="greaterThan">
      <formula>70</formula>
    </cfRule>
  </conditionalFormatting>
  <conditionalFormatting sqref="S256">
    <cfRule type="cellIs" dxfId="465" priority="9571" operator="lessThan">
      <formula>0</formula>
    </cfRule>
  </conditionalFormatting>
  <conditionalFormatting sqref="S256">
    <cfRule type="cellIs" dxfId="464" priority="9572" operator="greaterThan">
      <formula>70</formula>
    </cfRule>
  </conditionalFormatting>
  <conditionalFormatting sqref="T256">
    <cfRule type="cellIs" dxfId="463" priority="9573" operator="lessThan">
      <formula>0</formula>
    </cfRule>
  </conditionalFormatting>
  <conditionalFormatting sqref="T256">
    <cfRule type="cellIs" dxfId="462" priority="9574" operator="greaterThan">
      <formula>30</formula>
    </cfRule>
  </conditionalFormatting>
  <conditionalFormatting sqref="C257">
    <cfRule type="cellIs" dxfId="461" priority="9575" operator="lessThan">
      <formula>0</formula>
    </cfRule>
  </conditionalFormatting>
  <conditionalFormatting sqref="C257">
    <cfRule type="cellIs" dxfId="460" priority="9576" operator="greaterThan">
      <formula>100</formula>
    </cfRule>
  </conditionalFormatting>
  <conditionalFormatting sqref="F257">
    <cfRule type="cellIs" dxfId="459" priority="9577" operator="lessThan">
      <formula>0</formula>
    </cfRule>
  </conditionalFormatting>
  <conditionalFormatting sqref="F257">
    <cfRule type="cellIs" dxfId="458" priority="9578" operator="greaterThan">
      <formula>70</formula>
    </cfRule>
  </conditionalFormatting>
  <conditionalFormatting sqref="G257">
    <cfRule type="cellIs" dxfId="457" priority="9579" operator="lessThan">
      <formula>0</formula>
    </cfRule>
  </conditionalFormatting>
  <conditionalFormatting sqref="G257">
    <cfRule type="cellIs" dxfId="456" priority="9580" operator="greaterThan">
      <formula>70</formula>
    </cfRule>
  </conditionalFormatting>
  <conditionalFormatting sqref="H257">
    <cfRule type="cellIs" dxfId="455" priority="9581" operator="lessThan">
      <formula>0</formula>
    </cfRule>
  </conditionalFormatting>
  <conditionalFormatting sqref="H257">
    <cfRule type="cellIs" dxfId="454" priority="9582" operator="greaterThan">
      <formula>70</formula>
    </cfRule>
  </conditionalFormatting>
  <conditionalFormatting sqref="I257">
    <cfRule type="cellIs" dxfId="453" priority="9583" operator="lessThan">
      <formula>0</formula>
    </cfRule>
  </conditionalFormatting>
  <conditionalFormatting sqref="I257">
    <cfRule type="cellIs" dxfId="452" priority="9584" operator="greaterThan">
      <formula>70</formula>
    </cfRule>
  </conditionalFormatting>
  <conditionalFormatting sqref="J257">
    <cfRule type="cellIs" dxfId="451" priority="9585" operator="lessThan">
      <formula>0</formula>
    </cfRule>
  </conditionalFormatting>
  <conditionalFormatting sqref="J257">
    <cfRule type="cellIs" dxfId="450" priority="9586" operator="greaterThan">
      <formula>70</formula>
    </cfRule>
  </conditionalFormatting>
  <conditionalFormatting sqref="K257">
    <cfRule type="cellIs" dxfId="449" priority="9587" operator="lessThan">
      <formula>0</formula>
    </cfRule>
  </conditionalFormatting>
  <conditionalFormatting sqref="K257">
    <cfRule type="cellIs" dxfId="448" priority="9588" operator="greaterThan">
      <formula>70</formula>
    </cfRule>
  </conditionalFormatting>
  <conditionalFormatting sqref="S257">
    <cfRule type="cellIs" dxfId="447" priority="9589" operator="lessThan">
      <formula>0</formula>
    </cfRule>
  </conditionalFormatting>
  <conditionalFormatting sqref="S257">
    <cfRule type="cellIs" dxfId="446" priority="9590" operator="greaterThan">
      <formula>70</formula>
    </cfRule>
  </conditionalFormatting>
  <conditionalFormatting sqref="T257">
    <cfRule type="cellIs" dxfId="445" priority="9591" operator="lessThan">
      <formula>0</formula>
    </cfRule>
  </conditionalFormatting>
  <conditionalFormatting sqref="T257">
    <cfRule type="cellIs" dxfId="444" priority="9592" operator="greaterThan">
      <formula>30</formula>
    </cfRule>
  </conditionalFormatting>
  <conditionalFormatting sqref="C258">
    <cfRule type="cellIs" dxfId="443" priority="9593" operator="lessThan">
      <formula>0</formula>
    </cfRule>
  </conditionalFormatting>
  <conditionalFormatting sqref="C258">
    <cfRule type="cellIs" dxfId="442" priority="9594" operator="greaterThan">
      <formula>100</formula>
    </cfRule>
  </conditionalFormatting>
  <conditionalFormatting sqref="F258">
    <cfRule type="cellIs" dxfId="441" priority="9595" operator="lessThan">
      <formula>0</formula>
    </cfRule>
  </conditionalFormatting>
  <conditionalFormatting sqref="F258">
    <cfRule type="cellIs" dxfId="440" priority="9596" operator="greaterThan">
      <formula>70</formula>
    </cfRule>
  </conditionalFormatting>
  <conditionalFormatting sqref="G258">
    <cfRule type="cellIs" dxfId="439" priority="9597" operator="lessThan">
      <formula>0</formula>
    </cfRule>
  </conditionalFormatting>
  <conditionalFormatting sqref="G258">
    <cfRule type="cellIs" dxfId="438" priority="9598" operator="greaterThan">
      <formula>70</formula>
    </cfRule>
  </conditionalFormatting>
  <conditionalFormatting sqref="H258">
    <cfRule type="cellIs" dxfId="437" priority="9599" operator="lessThan">
      <formula>0</formula>
    </cfRule>
  </conditionalFormatting>
  <conditionalFormatting sqref="H258">
    <cfRule type="cellIs" dxfId="436" priority="9600" operator="greaterThan">
      <formula>70</formula>
    </cfRule>
  </conditionalFormatting>
  <conditionalFormatting sqref="I258">
    <cfRule type="cellIs" dxfId="435" priority="9601" operator="lessThan">
      <formula>0</formula>
    </cfRule>
  </conditionalFormatting>
  <conditionalFormatting sqref="I258">
    <cfRule type="cellIs" dxfId="434" priority="9602" operator="greaterThan">
      <formula>70</formula>
    </cfRule>
  </conditionalFormatting>
  <conditionalFormatting sqref="J258">
    <cfRule type="cellIs" dxfId="433" priority="9603" operator="lessThan">
      <formula>0</formula>
    </cfRule>
  </conditionalFormatting>
  <conditionalFormatting sqref="J258">
    <cfRule type="cellIs" dxfId="432" priority="9604" operator="greaterThan">
      <formula>70</formula>
    </cfRule>
  </conditionalFormatting>
  <conditionalFormatting sqref="K258">
    <cfRule type="cellIs" dxfId="431" priority="9605" operator="lessThan">
      <formula>0</formula>
    </cfRule>
  </conditionalFormatting>
  <conditionalFormatting sqref="K258">
    <cfRule type="cellIs" dxfId="430" priority="9606" operator="greaterThan">
      <formula>70</formula>
    </cfRule>
  </conditionalFormatting>
  <conditionalFormatting sqref="S258">
    <cfRule type="cellIs" dxfId="429" priority="9607" operator="lessThan">
      <formula>0</formula>
    </cfRule>
  </conditionalFormatting>
  <conditionalFormatting sqref="S258">
    <cfRule type="cellIs" dxfId="428" priority="9608" operator="greaterThan">
      <formula>70</formula>
    </cfRule>
  </conditionalFormatting>
  <conditionalFormatting sqref="T258">
    <cfRule type="cellIs" dxfId="427" priority="9609" operator="lessThan">
      <formula>0</formula>
    </cfRule>
  </conditionalFormatting>
  <conditionalFormatting sqref="T258">
    <cfRule type="cellIs" dxfId="426" priority="9610" operator="greaterThan">
      <formula>30</formula>
    </cfRule>
  </conditionalFormatting>
  <conditionalFormatting sqref="C259">
    <cfRule type="cellIs" dxfId="425" priority="9611" operator="lessThan">
      <formula>0</formula>
    </cfRule>
  </conditionalFormatting>
  <conditionalFormatting sqref="C259">
    <cfRule type="cellIs" dxfId="424" priority="9612" operator="greaterThan">
      <formula>100</formula>
    </cfRule>
  </conditionalFormatting>
  <conditionalFormatting sqref="F259">
    <cfRule type="cellIs" dxfId="423" priority="9613" operator="lessThan">
      <formula>0</formula>
    </cfRule>
  </conditionalFormatting>
  <conditionalFormatting sqref="F259">
    <cfRule type="cellIs" dxfId="422" priority="9614" operator="greaterThan">
      <formula>70</formula>
    </cfRule>
  </conditionalFormatting>
  <conditionalFormatting sqref="G259">
    <cfRule type="cellIs" dxfId="421" priority="9615" operator="lessThan">
      <formula>0</formula>
    </cfRule>
  </conditionalFormatting>
  <conditionalFormatting sqref="G259">
    <cfRule type="cellIs" dxfId="420" priority="9616" operator="greaterThan">
      <formula>70</formula>
    </cfRule>
  </conditionalFormatting>
  <conditionalFormatting sqref="H259">
    <cfRule type="cellIs" dxfId="419" priority="9617" operator="lessThan">
      <formula>0</formula>
    </cfRule>
  </conditionalFormatting>
  <conditionalFormatting sqref="H259">
    <cfRule type="cellIs" dxfId="418" priority="9618" operator="greaterThan">
      <formula>70</formula>
    </cfRule>
  </conditionalFormatting>
  <conditionalFormatting sqref="I259">
    <cfRule type="cellIs" dxfId="417" priority="9619" operator="lessThan">
      <formula>0</formula>
    </cfRule>
  </conditionalFormatting>
  <conditionalFormatting sqref="I259">
    <cfRule type="cellIs" dxfId="416" priority="9620" operator="greaterThan">
      <formula>70</formula>
    </cfRule>
  </conditionalFormatting>
  <conditionalFormatting sqref="J259">
    <cfRule type="cellIs" dxfId="415" priority="9621" operator="lessThan">
      <formula>0</formula>
    </cfRule>
  </conditionalFormatting>
  <conditionalFormatting sqref="J259">
    <cfRule type="cellIs" dxfId="414" priority="9622" operator="greaterThan">
      <formula>70</formula>
    </cfRule>
  </conditionalFormatting>
  <conditionalFormatting sqref="K259">
    <cfRule type="cellIs" dxfId="413" priority="9623" operator="lessThan">
      <formula>0</formula>
    </cfRule>
  </conditionalFormatting>
  <conditionalFormatting sqref="K259">
    <cfRule type="cellIs" dxfId="412" priority="9624" operator="greaterThan">
      <formula>70</formula>
    </cfRule>
  </conditionalFormatting>
  <conditionalFormatting sqref="S259">
    <cfRule type="cellIs" dxfId="411" priority="9625" operator="lessThan">
      <formula>0</formula>
    </cfRule>
  </conditionalFormatting>
  <conditionalFormatting sqref="S259">
    <cfRule type="cellIs" dxfId="410" priority="9626" operator="greaterThan">
      <formula>70</formula>
    </cfRule>
  </conditionalFormatting>
  <conditionalFormatting sqref="T259">
    <cfRule type="cellIs" dxfId="409" priority="9627" operator="lessThan">
      <formula>0</formula>
    </cfRule>
  </conditionalFormatting>
  <conditionalFormatting sqref="T259">
    <cfRule type="cellIs" dxfId="408" priority="9628" operator="greaterThan">
      <formula>30</formula>
    </cfRule>
  </conditionalFormatting>
  <conditionalFormatting sqref="C260">
    <cfRule type="cellIs" dxfId="407" priority="9629" operator="lessThan">
      <formula>0</formula>
    </cfRule>
  </conditionalFormatting>
  <conditionalFormatting sqref="C260">
    <cfRule type="cellIs" dxfId="406" priority="9630" operator="greaterThan">
      <formula>100</formula>
    </cfRule>
  </conditionalFormatting>
  <conditionalFormatting sqref="F260">
    <cfRule type="cellIs" dxfId="405" priority="9631" operator="lessThan">
      <formula>0</formula>
    </cfRule>
  </conditionalFormatting>
  <conditionalFormatting sqref="F260">
    <cfRule type="cellIs" dxfId="404" priority="9632" operator="greaterThan">
      <formula>70</formula>
    </cfRule>
  </conditionalFormatting>
  <conditionalFormatting sqref="G260">
    <cfRule type="cellIs" dxfId="403" priority="9633" operator="lessThan">
      <formula>0</formula>
    </cfRule>
  </conditionalFormatting>
  <conditionalFormatting sqref="G260">
    <cfRule type="cellIs" dxfId="402" priority="9634" operator="greaterThan">
      <formula>70</formula>
    </cfRule>
  </conditionalFormatting>
  <conditionalFormatting sqref="H260">
    <cfRule type="cellIs" dxfId="401" priority="9635" operator="lessThan">
      <formula>0</formula>
    </cfRule>
  </conditionalFormatting>
  <conditionalFormatting sqref="H260">
    <cfRule type="cellIs" dxfId="400" priority="9636" operator="greaterThan">
      <formula>70</formula>
    </cfRule>
  </conditionalFormatting>
  <conditionalFormatting sqref="I260">
    <cfRule type="cellIs" dxfId="399" priority="9637" operator="lessThan">
      <formula>0</formula>
    </cfRule>
  </conditionalFormatting>
  <conditionalFormatting sqref="I260">
    <cfRule type="cellIs" dxfId="398" priority="9638" operator="greaterThan">
      <formula>70</formula>
    </cfRule>
  </conditionalFormatting>
  <conditionalFormatting sqref="J260">
    <cfRule type="cellIs" dxfId="397" priority="9639" operator="lessThan">
      <formula>0</formula>
    </cfRule>
  </conditionalFormatting>
  <conditionalFormatting sqref="J260">
    <cfRule type="cellIs" dxfId="396" priority="9640" operator="greaterThan">
      <formula>70</formula>
    </cfRule>
  </conditionalFormatting>
  <conditionalFormatting sqref="K260">
    <cfRule type="cellIs" dxfId="395" priority="9641" operator="lessThan">
      <formula>0</formula>
    </cfRule>
  </conditionalFormatting>
  <conditionalFormatting sqref="K260">
    <cfRule type="cellIs" dxfId="394" priority="9642" operator="greaterThan">
      <formula>70</formula>
    </cfRule>
  </conditionalFormatting>
  <conditionalFormatting sqref="S260">
    <cfRule type="cellIs" dxfId="393" priority="9643" operator="lessThan">
      <formula>0</formula>
    </cfRule>
  </conditionalFormatting>
  <conditionalFormatting sqref="S260">
    <cfRule type="cellIs" dxfId="392" priority="9644" operator="greaterThan">
      <formula>70</formula>
    </cfRule>
  </conditionalFormatting>
  <conditionalFormatting sqref="T260">
    <cfRule type="cellIs" dxfId="391" priority="9645" operator="lessThan">
      <formula>0</formula>
    </cfRule>
  </conditionalFormatting>
  <conditionalFormatting sqref="T260">
    <cfRule type="cellIs" dxfId="390" priority="9646" operator="greaterThan">
      <formula>30</formula>
    </cfRule>
  </conditionalFormatting>
  <conditionalFormatting sqref="C261">
    <cfRule type="cellIs" dxfId="389" priority="9647" operator="lessThan">
      <formula>0</formula>
    </cfRule>
  </conditionalFormatting>
  <conditionalFormatting sqref="C261">
    <cfRule type="cellIs" dxfId="388" priority="9648" operator="greaterThan">
      <formula>100</formula>
    </cfRule>
  </conditionalFormatting>
  <conditionalFormatting sqref="F261">
    <cfRule type="cellIs" dxfId="387" priority="9649" operator="lessThan">
      <formula>0</formula>
    </cfRule>
  </conditionalFormatting>
  <conditionalFormatting sqref="F261">
    <cfRule type="cellIs" dxfId="386" priority="9650" operator="greaterThan">
      <formula>70</formula>
    </cfRule>
  </conditionalFormatting>
  <conditionalFormatting sqref="G261">
    <cfRule type="cellIs" dxfId="385" priority="9651" operator="lessThan">
      <formula>0</formula>
    </cfRule>
  </conditionalFormatting>
  <conditionalFormatting sqref="G261">
    <cfRule type="cellIs" dxfId="384" priority="9652" operator="greaterThan">
      <formula>70</formula>
    </cfRule>
  </conditionalFormatting>
  <conditionalFormatting sqref="H261">
    <cfRule type="cellIs" dxfId="383" priority="9653" operator="lessThan">
      <formula>0</formula>
    </cfRule>
  </conditionalFormatting>
  <conditionalFormatting sqref="H261">
    <cfRule type="cellIs" dxfId="382" priority="9654" operator="greaterThan">
      <formula>70</formula>
    </cfRule>
  </conditionalFormatting>
  <conditionalFormatting sqref="I261">
    <cfRule type="cellIs" dxfId="381" priority="9655" operator="lessThan">
      <formula>0</formula>
    </cfRule>
  </conditionalFormatting>
  <conditionalFormatting sqref="I261">
    <cfRule type="cellIs" dxfId="380" priority="9656" operator="greaterThan">
      <formula>70</formula>
    </cfRule>
  </conditionalFormatting>
  <conditionalFormatting sqref="J261">
    <cfRule type="cellIs" dxfId="379" priority="9657" operator="lessThan">
      <formula>0</formula>
    </cfRule>
  </conditionalFormatting>
  <conditionalFormatting sqref="J261">
    <cfRule type="cellIs" dxfId="378" priority="9658" operator="greaterThan">
      <formula>70</formula>
    </cfRule>
  </conditionalFormatting>
  <conditionalFormatting sqref="K261">
    <cfRule type="cellIs" dxfId="377" priority="9659" operator="lessThan">
      <formula>0</formula>
    </cfRule>
  </conditionalFormatting>
  <conditionalFormatting sqref="K261">
    <cfRule type="cellIs" dxfId="376" priority="9660" operator="greaterThan">
      <formula>70</formula>
    </cfRule>
  </conditionalFormatting>
  <conditionalFormatting sqref="S261">
    <cfRule type="cellIs" dxfId="375" priority="9661" operator="lessThan">
      <formula>0</formula>
    </cfRule>
  </conditionalFormatting>
  <conditionalFormatting sqref="S261">
    <cfRule type="cellIs" dxfId="374" priority="9662" operator="greaterThan">
      <formula>70</formula>
    </cfRule>
  </conditionalFormatting>
  <conditionalFormatting sqref="T261">
    <cfRule type="cellIs" dxfId="373" priority="9663" operator="lessThan">
      <formula>0</formula>
    </cfRule>
  </conditionalFormatting>
  <conditionalFormatting sqref="T261">
    <cfRule type="cellIs" dxfId="372" priority="9664" operator="greaterThan">
      <formula>30</formula>
    </cfRule>
  </conditionalFormatting>
  <conditionalFormatting sqref="C262">
    <cfRule type="cellIs" dxfId="371" priority="9665" operator="lessThan">
      <formula>0</formula>
    </cfRule>
  </conditionalFormatting>
  <conditionalFormatting sqref="C262">
    <cfRule type="cellIs" dxfId="370" priority="9666" operator="greaterThan">
      <formula>100</formula>
    </cfRule>
  </conditionalFormatting>
  <conditionalFormatting sqref="F262">
    <cfRule type="cellIs" dxfId="369" priority="9667" operator="lessThan">
      <formula>0</formula>
    </cfRule>
  </conditionalFormatting>
  <conditionalFormatting sqref="F262">
    <cfRule type="cellIs" dxfId="368" priority="9668" operator="greaterThan">
      <formula>70</formula>
    </cfRule>
  </conditionalFormatting>
  <conditionalFormatting sqref="G262">
    <cfRule type="cellIs" dxfId="367" priority="9669" operator="lessThan">
      <formula>0</formula>
    </cfRule>
  </conditionalFormatting>
  <conditionalFormatting sqref="G262">
    <cfRule type="cellIs" dxfId="366" priority="9670" operator="greaterThan">
      <formula>70</formula>
    </cfRule>
  </conditionalFormatting>
  <conditionalFormatting sqref="H262">
    <cfRule type="cellIs" dxfId="365" priority="9671" operator="lessThan">
      <formula>0</formula>
    </cfRule>
  </conditionalFormatting>
  <conditionalFormatting sqref="H262">
    <cfRule type="cellIs" dxfId="364" priority="9672" operator="greaterThan">
      <formula>70</formula>
    </cfRule>
  </conditionalFormatting>
  <conditionalFormatting sqref="I262">
    <cfRule type="cellIs" dxfId="363" priority="9673" operator="lessThan">
      <formula>0</formula>
    </cfRule>
  </conditionalFormatting>
  <conditionalFormatting sqref="I262">
    <cfRule type="cellIs" dxfId="362" priority="9674" operator="greaterThan">
      <formula>70</formula>
    </cfRule>
  </conditionalFormatting>
  <conditionalFormatting sqref="J262">
    <cfRule type="cellIs" dxfId="361" priority="9675" operator="lessThan">
      <formula>0</formula>
    </cfRule>
  </conditionalFormatting>
  <conditionalFormatting sqref="J262">
    <cfRule type="cellIs" dxfId="360" priority="9676" operator="greaterThan">
      <formula>70</formula>
    </cfRule>
  </conditionalFormatting>
  <conditionalFormatting sqref="K262">
    <cfRule type="cellIs" dxfId="359" priority="9677" operator="lessThan">
      <formula>0</formula>
    </cfRule>
  </conditionalFormatting>
  <conditionalFormatting sqref="K262">
    <cfRule type="cellIs" dxfId="358" priority="9678" operator="greaterThan">
      <formula>70</formula>
    </cfRule>
  </conditionalFormatting>
  <conditionalFormatting sqref="S262">
    <cfRule type="cellIs" dxfId="357" priority="9679" operator="lessThan">
      <formula>0</formula>
    </cfRule>
  </conditionalFormatting>
  <conditionalFormatting sqref="S262">
    <cfRule type="cellIs" dxfId="356" priority="9680" operator="greaterThan">
      <formula>70</formula>
    </cfRule>
  </conditionalFormatting>
  <conditionalFormatting sqref="T262">
    <cfRule type="cellIs" dxfId="355" priority="9681" operator="lessThan">
      <formula>0</formula>
    </cfRule>
  </conditionalFormatting>
  <conditionalFormatting sqref="T262">
    <cfRule type="cellIs" dxfId="354" priority="9682" operator="greaterThan">
      <formula>30</formula>
    </cfRule>
  </conditionalFormatting>
  <conditionalFormatting sqref="C263">
    <cfRule type="cellIs" dxfId="353" priority="9683" operator="lessThan">
      <formula>0</formula>
    </cfRule>
  </conditionalFormatting>
  <conditionalFormatting sqref="C263">
    <cfRule type="cellIs" dxfId="352" priority="9684" operator="greaterThan">
      <formula>100</formula>
    </cfRule>
  </conditionalFormatting>
  <conditionalFormatting sqref="F263">
    <cfRule type="cellIs" dxfId="351" priority="9685" operator="lessThan">
      <formula>0</formula>
    </cfRule>
  </conditionalFormatting>
  <conditionalFormatting sqref="F263">
    <cfRule type="cellIs" dxfId="350" priority="9686" operator="greaterThan">
      <formula>70</formula>
    </cfRule>
  </conditionalFormatting>
  <conditionalFormatting sqref="G263">
    <cfRule type="cellIs" dxfId="349" priority="9687" operator="lessThan">
      <formula>0</formula>
    </cfRule>
  </conditionalFormatting>
  <conditionalFormatting sqref="G263">
    <cfRule type="cellIs" dxfId="348" priority="9688" operator="greaterThan">
      <formula>70</formula>
    </cfRule>
  </conditionalFormatting>
  <conditionalFormatting sqref="H263">
    <cfRule type="cellIs" dxfId="347" priority="9689" operator="lessThan">
      <formula>0</formula>
    </cfRule>
  </conditionalFormatting>
  <conditionalFormatting sqref="H263">
    <cfRule type="cellIs" dxfId="346" priority="9690" operator="greaterThan">
      <formula>70</formula>
    </cfRule>
  </conditionalFormatting>
  <conditionalFormatting sqref="I263">
    <cfRule type="cellIs" dxfId="345" priority="9691" operator="lessThan">
      <formula>0</formula>
    </cfRule>
  </conditionalFormatting>
  <conditionalFormatting sqref="I263">
    <cfRule type="cellIs" dxfId="344" priority="9692" operator="greaterThan">
      <formula>70</formula>
    </cfRule>
  </conditionalFormatting>
  <conditionalFormatting sqref="J263">
    <cfRule type="cellIs" dxfId="343" priority="9693" operator="lessThan">
      <formula>0</formula>
    </cfRule>
  </conditionalFormatting>
  <conditionalFormatting sqref="J263">
    <cfRule type="cellIs" dxfId="342" priority="9694" operator="greaterThan">
      <formula>70</formula>
    </cfRule>
  </conditionalFormatting>
  <conditionalFormatting sqref="K263">
    <cfRule type="cellIs" dxfId="341" priority="9695" operator="lessThan">
      <formula>0</formula>
    </cfRule>
  </conditionalFormatting>
  <conditionalFormatting sqref="K263">
    <cfRule type="cellIs" dxfId="340" priority="9696" operator="greaterThan">
      <formula>70</formula>
    </cfRule>
  </conditionalFormatting>
  <conditionalFormatting sqref="S263">
    <cfRule type="cellIs" dxfId="339" priority="9697" operator="lessThan">
      <formula>0</formula>
    </cfRule>
  </conditionalFormatting>
  <conditionalFormatting sqref="S263">
    <cfRule type="cellIs" dxfId="338" priority="9698" operator="greaterThan">
      <formula>70</formula>
    </cfRule>
  </conditionalFormatting>
  <conditionalFormatting sqref="T263">
    <cfRule type="cellIs" dxfId="337" priority="9699" operator="lessThan">
      <formula>0</formula>
    </cfRule>
  </conditionalFormatting>
  <conditionalFormatting sqref="T263">
    <cfRule type="cellIs" dxfId="336" priority="9700" operator="greaterThan">
      <formula>30</formula>
    </cfRule>
  </conditionalFormatting>
  <conditionalFormatting sqref="C264">
    <cfRule type="cellIs" dxfId="335" priority="9701" operator="lessThan">
      <formula>0</formula>
    </cfRule>
  </conditionalFormatting>
  <conditionalFormatting sqref="C264">
    <cfRule type="cellIs" dxfId="334" priority="9702" operator="greaterThan">
      <formula>100</formula>
    </cfRule>
  </conditionalFormatting>
  <conditionalFormatting sqref="F264">
    <cfRule type="cellIs" dxfId="333" priority="9703" operator="lessThan">
      <formula>0</formula>
    </cfRule>
  </conditionalFormatting>
  <conditionalFormatting sqref="F264">
    <cfRule type="cellIs" dxfId="332" priority="9704" operator="greaterThan">
      <formula>70</formula>
    </cfRule>
  </conditionalFormatting>
  <conditionalFormatting sqref="G264">
    <cfRule type="cellIs" dxfId="331" priority="9705" operator="lessThan">
      <formula>0</formula>
    </cfRule>
  </conditionalFormatting>
  <conditionalFormatting sqref="G264">
    <cfRule type="cellIs" dxfId="330" priority="9706" operator="greaterThan">
      <formula>70</formula>
    </cfRule>
  </conditionalFormatting>
  <conditionalFormatting sqref="H264">
    <cfRule type="cellIs" dxfId="329" priority="9707" operator="lessThan">
      <formula>0</formula>
    </cfRule>
  </conditionalFormatting>
  <conditionalFormatting sqref="H264">
    <cfRule type="cellIs" dxfId="328" priority="9708" operator="greaterThan">
      <formula>70</formula>
    </cfRule>
  </conditionalFormatting>
  <conditionalFormatting sqref="I264">
    <cfRule type="cellIs" dxfId="327" priority="9709" operator="lessThan">
      <formula>0</formula>
    </cfRule>
  </conditionalFormatting>
  <conditionalFormatting sqref="I264">
    <cfRule type="cellIs" dxfId="326" priority="9710" operator="greaterThan">
      <formula>70</formula>
    </cfRule>
  </conditionalFormatting>
  <conditionalFormatting sqref="J264">
    <cfRule type="cellIs" dxfId="325" priority="9711" operator="lessThan">
      <formula>0</formula>
    </cfRule>
  </conditionalFormatting>
  <conditionalFormatting sqref="J264">
    <cfRule type="cellIs" dxfId="324" priority="9712" operator="greaterThan">
      <formula>70</formula>
    </cfRule>
  </conditionalFormatting>
  <conditionalFormatting sqref="K264">
    <cfRule type="cellIs" dxfId="323" priority="9713" operator="lessThan">
      <formula>0</formula>
    </cfRule>
  </conditionalFormatting>
  <conditionalFormatting sqref="K264">
    <cfRule type="cellIs" dxfId="322" priority="9714" operator="greaterThan">
      <formula>70</formula>
    </cfRule>
  </conditionalFormatting>
  <conditionalFormatting sqref="S264">
    <cfRule type="cellIs" dxfId="321" priority="9715" operator="lessThan">
      <formula>0</formula>
    </cfRule>
  </conditionalFormatting>
  <conditionalFormatting sqref="S264">
    <cfRule type="cellIs" dxfId="320" priority="9716" operator="greaterThan">
      <formula>70</formula>
    </cfRule>
  </conditionalFormatting>
  <conditionalFormatting sqref="T264">
    <cfRule type="cellIs" dxfId="319" priority="9717" operator="lessThan">
      <formula>0</formula>
    </cfRule>
  </conditionalFormatting>
  <conditionalFormatting sqref="T264">
    <cfRule type="cellIs" dxfId="318" priority="9718" operator="greaterThan">
      <formula>30</formula>
    </cfRule>
  </conditionalFormatting>
  <conditionalFormatting sqref="C265">
    <cfRule type="cellIs" dxfId="317" priority="9719" operator="lessThan">
      <formula>0</formula>
    </cfRule>
  </conditionalFormatting>
  <conditionalFormatting sqref="C265">
    <cfRule type="cellIs" dxfId="316" priority="9720" operator="greaterThan">
      <formula>100</formula>
    </cfRule>
  </conditionalFormatting>
  <conditionalFormatting sqref="F265">
    <cfRule type="cellIs" dxfId="315" priority="9721" operator="lessThan">
      <formula>0</formula>
    </cfRule>
  </conditionalFormatting>
  <conditionalFormatting sqref="F265">
    <cfRule type="cellIs" dxfId="314" priority="9722" operator="greaterThan">
      <formula>70</formula>
    </cfRule>
  </conditionalFormatting>
  <conditionalFormatting sqref="G265">
    <cfRule type="cellIs" dxfId="313" priority="9723" operator="lessThan">
      <formula>0</formula>
    </cfRule>
  </conditionalFormatting>
  <conditionalFormatting sqref="G265">
    <cfRule type="cellIs" dxfId="312" priority="9724" operator="greaterThan">
      <formula>70</formula>
    </cfRule>
  </conditionalFormatting>
  <conditionalFormatting sqref="H265">
    <cfRule type="cellIs" dxfId="311" priority="9725" operator="lessThan">
      <formula>0</formula>
    </cfRule>
  </conditionalFormatting>
  <conditionalFormatting sqref="H265">
    <cfRule type="cellIs" dxfId="310" priority="9726" operator="greaterThan">
      <formula>70</formula>
    </cfRule>
  </conditionalFormatting>
  <conditionalFormatting sqref="I265">
    <cfRule type="cellIs" dxfId="309" priority="9727" operator="lessThan">
      <formula>0</formula>
    </cfRule>
  </conditionalFormatting>
  <conditionalFormatting sqref="I265">
    <cfRule type="cellIs" dxfId="308" priority="9728" operator="greaterThan">
      <formula>70</formula>
    </cfRule>
  </conditionalFormatting>
  <conditionalFormatting sqref="J265">
    <cfRule type="cellIs" dxfId="307" priority="9729" operator="lessThan">
      <formula>0</formula>
    </cfRule>
  </conditionalFormatting>
  <conditionalFormatting sqref="J265">
    <cfRule type="cellIs" dxfId="306" priority="9730" operator="greaterThan">
      <formula>70</formula>
    </cfRule>
  </conditionalFormatting>
  <conditionalFormatting sqref="K265">
    <cfRule type="cellIs" dxfId="305" priority="9731" operator="lessThan">
      <formula>0</formula>
    </cfRule>
  </conditionalFormatting>
  <conditionalFormatting sqref="K265">
    <cfRule type="cellIs" dxfId="304" priority="9732" operator="greaterThan">
      <formula>70</formula>
    </cfRule>
  </conditionalFormatting>
  <conditionalFormatting sqref="S265">
    <cfRule type="cellIs" dxfId="303" priority="9733" operator="lessThan">
      <formula>0</formula>
    </cfRule>
  </conditionalFormatting>
  <conditionalFormatting sqref="S265">
    <cfRule type="cellIs" dxfId="302" priority="9734" operator="greaterThan">
      <formula>70</formula>
    </cfRule>
  </conditionalFormatting>
  <conditionalFormatting sqref="T265">
    <cfRule type="cellIs" dxfId="301" priority="9735" operator="lessThan">
      <formula>0</formula>
    </cfRule>
  </conditionalFormatting>
  <conditionalFormatting sqref="T265">
    <cfRule type="cellIs" dxfId="300" priority="9736" operator="greaterThan">
      <formula>30</formula>
    </cfRule>
  </conditionalFormatting>
  <conditionalFormatting sqref="C266">
    <cfRule type="cellIs" dxfId="299" priority="9737" operator="lessThan">
      <formula>0</formula>
    </cfRule>
  </conditionalFormatting>
  <conditionalFormatting sqref="C266">
    <cfRule type="cellIs" dxfId="298" priority="9738" operator="greaterThan">
      <formula>100</formula>
    </cfRule>
  </conditionalFormatting>
  <conditionalFormatting sqref="F266">
    <cfRule type="cellIs" dxfId="297" priority="9739" operator="lessThan">
      <formula>0</formula>
    </cfRule>
  </conditionalFormatting>
  <conditionalFormatting sqref="F266">
    <cfRule type="cellIs" dxfId="296" priority="9740" operator="greaterThan">
      <formula>70</formula>
    </cfRule>
  </conditionalFormatting>
  <conditionalFormatting sqref="G266">
    <cfRule type="cellIs" dxfId="295" priority="9741" operator="lessThan">
      <formula>0</formula>
    </cfRule>
  </conditionalFormatting>
  <conditionalFormatting sqref="G266">
    <cfRule type="cellIs" dxfId="294" priority="9742" operator="greaterThan">
      <formula>70</formula>
    </cfRule>
  </conditionalFormatting>
  <conditionalFormatting sqref="H266">
    <cfRule type="cellIs" dxfId="293" priority="9743" operator="lessThan">
      <formula>0</formula>
    </cfRule>
  </conditionalFormatting>
  <conditionalFormatting sqref="H266">
    <cfRule type="cellIs" dxfId="292" priority="9744" operator="greaterThan">
      <formula>70</formula>
    </cfRule>
  </conditionalFormatting>
  <conditionalFormatting sqref="I266">
    <cfRule type="cellIs" dxfId="291" priority="9745" operator="lessThan">
      <formula>0</formula>
    </cfRule>
  </conditionalFormatting>
  <conditionalFormatting sqref="I266">
    <cfRule type="cellIs" dxfId="290" priority="9746" operator="greaterThan">
      <formula>70</formula>
    </cfRule>
  </conditionalFormatting>
  <conditionalFormatting sqref="J266">
    <cfRule type="cellIs" dxfId="289" priority="9747" operator="lessThan">
      <formula>0</formula>
    </cfRule>
  </conditionalFormatting>
  <conditionalFormatting sqref="J266">
    <cfRule type="cellIs" dxfId="288" priority="9748" operator="greaterThan">
      <formula>70</formula>
    </cfRule>
  </conditionalFormatting>
  <conditionalFormatting sqref="K266">
    <cfRule type="cellIs" dxfId="287" priority="9749" operator="lessThan">
      <formula>0</formula>
    </cfRule>
  </conditionalFormatting>
  <conditionalFormatting sqref="K266">
    <cfRule type="cellIs" dxfId="286" priority="9750" operator="greaterThan">
      <formula>70</formula>
    </cfRule>
  </conditionalFormatting>
  <conditionalFormatting sqref="S266">
    <cfRule type="cellIs" dxfId="285" priority="9751" operator="lessThan">
      <formula>0</formula>
    </cfRule>
  </conditionalFormatting>
  <conditionalFormatting sqref="S266">
    <cfRule type="cellIs" dxfId="284" priority="9752" operator="greaterThan">
      <formula>70</formula>
    </cfRule>
  </conditionalFormatting>
  <conditionalFormatting sqref="T266">
    <cfRule type="cellIs" dxfId="283" priority="9753" operator="lessThan">
      <formula>0</formula>
    </cfRule>
  </conditionalFormatting>
  <conditionalFormatting sqref="T266">
    <cfRule type="cellIs" dxfId="282" priority="9754" operator="greaterThan">
      <formula>30</formula>
    </cfRule>
  </conditionalFormatting>
  <conditionalFormatting sqref="C267">
    <cfRule type="cellIs" dxfId="281" priority="9755" operator="lessThan">
      <formula>0</formula>
    </cfRule>
  </conditionalFormatting>
  <conditionalFormatting sqref="C267">
    <cfRule type="cellIs" dxfId="280" priority="9756" operator="greaterThan">
      <formula>100</formula>
    </cfRule>
  </conditionalFormatting>
  <conditionalFormatting sqref="F267">
    <cfRule type="cellIs" dxfId="279" priority="9757" operator="lessThan">
      <formula>0</formula>
    </cfRule>
  </conditionalFormatting>
  <conditionalFormatting sqref="F267">
    <cfRule type="cellIs" dxfId="278" priority="9758" operator="greaterThan">
      <formula>70</formula>
    </cfRule>
  </conditionalFormatting>
  <conditionalFormatting sqref="G267">
    <cfRule type="cellIs" dxfId="277" priority="9759" operator="lessThan">
      <formula>0</formula>
    </cfRule>
  </conditionalFormatting>
  <conditionalFormatting sqref="G267">
    <cfRule type="cellIs" dxfId="276" priority="9760" operator="greaterThan">
      <formula>70</formula>
    </cfRule>
  </conditionalFormatting>
  <conditionalFormatting sqref="H267">
    <cfRule type="cellIs" dxfId="275" priority="9761" operator="lessThan">
      <formula>0</formula>
    </cfRule>
  </conditionalFormatting>
  <conditionalFormatting sqref="H267">
    <cfRule type="cellIs" dxfId="274" priority="9762" operator="greaterThan">
      <formula>70</formula>
    </cfRule>
  </conditionalFormatting>
  <conditionalFormatting sqref="I267">
    <cfRule type="cellIs" dxfId="273" priority="9763" operator="lessThan">
      <formula>0</formula>
    </cfRule>
  </conditionalFormatting>
  <conditionalFormatting sqref="I267">
    <cfRule type="cellIs" dxfId="272" priority="9764" operator="greaterThan">
      <formula>70</formula>
    </cfRule>
  </conditionalFormatting>
  <conditionalFormatting sqref="J267">
    <cfRule type="cellIs" dxfId="271" priority="9765" operator="lessThan">
      <formula>0</formula>
    </cfRule>
  </conditionalFormatting>
  <conditionalFormatting sqref="J267">
    <cfRule type="cellIs" dxfId="270" priority="9766" operator="greaterThan">
      <formula>70</formula>
    </cfRule>
  </conditionalFormatting>
  <conditionalFormatting sqref="K267">
    <cfRule type="cellIs" dxfId="269" priority="9767" operator="lessThan">
      <formula>0</formula>
    </cfRule>
  </conditionalFormatting>
  <conditionalFormatting sqref="K267">
    <cfRule type="cellIs" dxfId="268" priority="9768" operator="greaterThan">
      <formula>70</formula>
    </cfRule>
  </conditionalFormatting>
  <conditionalFormatting sqref="S267">
    <cfRule type="cellIs" dxfId="267" priority="9769" operator="lessThan">
      <formula>0</formula>
    </cfRule>
  </conditionalFormatting>
  <conditionalFormatting sqref="S267">
    <cfRule type="cellIs" dxfId="266" priority="9770" operator="greaterThan">
      <formula>70</formula>
    </cfRule>
  </conditionalFormatting>
  <conditionalFormatting sqref="T267">
    <cfRule type="cellIs" dxfId="265" priority="9771" operator="lessThan">
      <formula>0</formula>
    </cfRule>
  </conditionalFormatting>
  <conditionalFormatting sqref="T267">
    <cfRule type="cellIs" dxfId="264" priority="9772" operator="greaterThan">
      <formula>30</formula>
    </cfRule>
  </conditionalFormatting>
  <conditionalFormatting sqref="C268">
    <cfRule type="cellIs" dxfId="263" priority="9773" operator="lessThan">
      <formula>0</formula>
    </cfRule>
  </conditionalFormatting>
  <conditionalFormatting sqref="C268">
    <cfRule type="cellIs" dxfId="262" priority="9774" operator="greaterThan">
      <formula>100</formula>
    </cfRule>
  </conditionalFormatting>
  <conditionalFormatting sqref="F268">
    <cfRule type="cellIs" dxfId="261" priority="9775" operator="lessThan">
      <formula>0</formula>
    </cfRule>
  </conditionalFormatting>
  <conditionalFormatting sqref="F268">
    <cfRule type="cellIs" dxfId="260" priority="9776" operator="greaterThan">
      <formula>70</formula>
    </cfRule>
  </conditionalFormatting>
  <conditionalFormatting sqref="G268">
    <cfRule type="cellIs" dxfId="259" priority="9777" operator="lessThan">
      <formula>0</formula>
    </cfRule>
  </conditionalFormatting>
  <conditionalFormatting sqref="G268">
    <cfRule type="cellIs" dxfId="258" priority="9778" operator="greaterThan">
      <formula>70</formula>
    </cfRule>
  </conditionalFormatting>
  <conditionalFormatting sqref="H268">
    <cfRule type="cellIs" dxfId="257" priority="9779" operator="lessThan">
      <formula>0</formula>
    </cfRule>
  </conditionalFormatting>
  <conditionalFormatting sqref="H268">
    <cfRule type="cellIs" dxfId="256" priority="9780" operator="greaterThan">
      <formula>70</formula>
    </cfRule>
  </conditionalFormatting>
  <conditionalFormatting sqref="I268">
    <cfRule type="cellIs" dxfId="255" priority="9781" operator="lessThan">
      <formula>0</formula>
    </cfRule>
  </conditionalFormatting>
  <conditionalFormatting sqref="I268">
    <cfRule type="cellIs" dxfId="254" priority="9782" operator="greaterThan">
      <formula>70</formula>
    </cfRule>
  </conditionalFormatting>
  <conditionalFormatting sqref="J268">
    <cfRule type="cellIs" dxfId="253" priority="9783" operator="lessThan">
      <formula>0</formula>
    </cfRule>
  </conditionalFormatting>
  <conditionalFormatting sqref="J268">
    <cfRule type="cellIs" dxfId="252" priority="9784" operator="greaterThan">
      <formula>70</formula>
    </cfRule>
  </conditionalFormatting>
  <conditionalFormatting sqref="K268">
    <cfRule type="cellIs" dxfId="251" priority="9785" operator="lessThan">
      <formula>0</formula>
    </cfRule>
  </conditionalFormatting>
  <conditionalFormatting sqref="K268">
    <cfRule type="cellIs" dxfId="250" priority="9786" operator="greaterThan">
      <formula>70</formula>
    </cfRule>
  </conditionalFormatting>
  <conditionalFormatting sqref="S268">
    <cfRule type="cellIs" dxfId="249" priority="9787" operator="lessThan">
      <formula>0</formula>
    </cfRule>
  </conditionalFormatting>
  <conditionalFormatting sqref="S268">
    <cfRule type="cellIs" dxfId="248" priority="9788" operator="greaterThan">
      <formula>70</formula>
    </cfRule>
  </conditionalFormatting>
  <conditionalFormatting sqref="T268">
    <cfRule type="cellIs" dxfId="247" priority="9789" operator="lessThan">
      <formula>0</formula>
    </cfRule>
  </conditionalFormatting>
  <conditionalFormatting sqref="T268">
    <cfRule type="cellIs" dxfId="246" priority="9790" operator="greaterThan">
      <formula>30</formula>
    </cfRule>
  </conditionalFormatting>
  <conditionalFormatting sqref="C269">
    <cfRule type="cellIs" dxfId="245" priority="9791" operator="lessThan">
      <formula>0</formula>
    </cfRule>
  </conditionalFormatting>
  <conditionalFormatting sqref="C269">
    <cfRule type="cellIs" dxfId="244" priority="9792" operator="greaterThan">
      <formula>100</formula>
    </cfRule>
  </conditionalFormatting>
  <conditionalFormatting sqref="F269">
    <cfRule type="cellIs" dxfId="243" priority="9793" operator="lessThan">
      <formula>0</formula>
    </cfRule>
  </conditionalFormatting>
  <conditionalFormatting sqref="F269">
    <cfRule type="cellIs" dxfId="242" priority="9794" operator="greaterThan">
      <formula>70</formula>
    </cfRule>
  </conditionalFormatting>
  <conditionalFormatting sqref="G269">
    <cfRule type="cellIs" dxfId="241" priority="9795" operator="lessThan">
      <formula>0</formula>
    </cfRule>
  </conditionalFormatting>
  <conditionalFormatting sqref="G269">
    <cfRule type="cellIs" dxfId="240" priority="9796" operator="greaterThan">
      <formula>70</formula>
    </cfRule>
  </conditionalFormatting>
  <conditionalFormatting sqref="H269">
    <cfRule type="cellIs" dxfId="239" priority="9797" operator="lessThan">
      <formula>0</formula>
    </cfRule>
  </conditionalFormatting>
  <conditionalFormatting sqref="H269">
    <cfRule type="cellIs" dxfId="238" priority="9798" operator="greaterThan">
      <formula>70</formula>
    </cfRule>
  </conditionalFormatting>
  <conditionalFormatting sqref="I269">
    <cfRule type="cellIs" dxfId="237" priority="9799" operator="lessThan">
      <formula>0</formula>
    </cfRule>
  </conditionalFormatting>
  <conditionalFormatting sqref="I269">
    <cfRule type="cellIs" dxfId="236" priority="9800" operator="greaterThan">
      <formula>70</formula>
    </cfRule>
  </conditionalFormatting>
  <conditionalFormatting sqref="J269">
    <cfRule type="cellIs" dxfId="235" priority="9801" operator="lessThan">
      <formula>0</formula>
    </cfRule>
  </conditionalFormatting>
  <conditionalFormatting sqref="J269">
    <cfRule type="cellIs" dxfId="234" priority="9802" operator="greaterThan">
      <formula>70</formula>
    </cfRule>
  </conditionalFormatting>
  <conditionalFormatting sqref="K269">
    <cfRule type="cellIs" dxfId="233" priority="9803" operator="lessThan">
      <formula>0</formula>
    </cfRule>
  </conditionalFormatting>
  <conditionalFormatting sqref="K269">
    <cfRule type="cellIs" dxfId="232" priority="9804" operator="greaterThan">
      <formula>70</formula>
    </cfRule>
  </conditionalFormatting>
  <conditionalFormatting sqref="S269">
    <cfRule type="cellIs" dxfId="231" priority="9805" operator="lessThan">
      <formula>0</formula>
    </cfRule>
  </conditionalFormatting>
  <conditionalFormatting sqref="S269">
    <cfRule type="cellIs" dxfId="230" priority="9806" operator="greaterThan">
      <formula>70</formula>
    </cfRule>
  </conditionalFormatting>
  <conditionalFormatting sqref="T269">
    <cfRule type="cellIs" dxfId="229" priority="9807" operator="lessThan">
      <formula>0</formula>
    </cfRule>
  </conditionalFormatting>
  <conditionalFormatting sqref="T269">
    <cfRule type="cellIs" dxfId="228" priority="9808" operator="greaterThan">
      <formula>30</formula>
    </cfRule>
  </conditionalFormatting>
  <conditionalFormatting sqref="C270">
    <cfRule type="cellIs" dxfId="227" priority="9809" operator="lessThan">
      <formula>0</formula>
    </cfRule>
  </conditionalFormatting>
  <conditionalFormatting sqref="C270">
    <cfRule type="cellIs" dxfId="226" priority="9810" operator="greaterThan">
      <formula>100</formula>
    </cfRule>
  </conditionalFormatting>
  <conditionalFormatting sqref="F270">
    <cfRule type="cellIs" dxfId="225" priority="9811" operator="lessThan">
      <formula>0</formula>
    </cfRule>
  </conditionalFormatting>
  <conditionalFormatting sqref="F270">
    <cfRule type="cellIs" dxfId="224" priority="9812" operator="greaterThan">
      <formula>70</formula>
    </cfRule>
  </conditionalFormatting>
  <conditionalFormatting sqref="G270">
    <cfRule type="cellIs" dxfId="223" priority="9813" operator="lessThan">
      <formula>0</formula>
    </cfRule>
  </conditionalFormatting>
  <conditionalFormatting sqref="G270">
    <cfRule type="cellIs" dxfId="222" priority="9814" operator="greaterThan">
      <formula>70</formula>
    </cfRule>
  </conditionalFormatting>
  <conditionalFormatting sqref="H270">
    <cfRule type="cellIs" dxfId="221" priority="9815" operator="lessThan">
      <formula>0</formula>
    </cfRule>
  </conditionalFormatting>
  <conditionalFormatting sqref="H270">
    <cfRule type="cellIs" dxfId="220" priority="9816" operator="greaterThan">
      <formula>70</formula>
    </cfRule>
  </conditionalFormatting>
  <conditionalFormatting sqref="I270">
    <cfRule type="cellIs" dxfId="219" priority="9817" operator="lessThan">
      <formula>0</formula>
    </cfRule>
  </conditionalFormatting>
  <conditionalFormatting sqref="I270">
    <cfRule type="cellIs" dxfId="218" priority="9818" operator="greaterThan">
      <formula>70</formula>
    </cfRule>
  </conditionalFormatting>
  <conditionalFormatting sqref="J270">
    <cfRule type="cellIs" dxfId="217" priority="9819" operator="lessThan">
      <formula>0</formula>
    </cfRule>
  </conditionalFormatting>
  <conditionalFormatting sqref="J270">
    <cfRule type="cellIs" dxfId="216" priority="9820" operator="greaterThan">
      <formula>70</formula>
    </cfRule>
  </conditionalFormatting>
  <conditionalFormatting sqref="K270">
    <cfRule type="cellIs" dxfId="215" priority="9821" operator="lessThan">
      <formula>0</formula>
    </cfRule>
  </conditionalFormatting>
  <conditionalFormatting sqref="K270">
    <cfRule type="cellIs" dxfId="214" priority="9822" operator="greaterThan">
      <formula>70</formula>
    </cfRule>
  </conditionalFormatting>
  <conditionalFormatting sqref="S270">
    <cfRule type="cellIs" dxfId="213" priority="9823" operator="lessThan">
      <formula>0</formula>
    </cfRule>
  </conditionalFormatting>
  <conditionalFormatting sqref="S270">
    <cfRule type="cellIs" dxfId="212" priority="9824" operator="greaterThan">
      <formula>70</formula>
    </cfRule>
  </conditionalFormatting>
  <conditionalFormatting sqref="T270">
    <cfRule type="cellIs" dxfId="211" priority="9825" operator="lessThan">
      <formula>0</formula>
    </cfRule>
  </conditionalFormatting>
  <conditionalFormatting sqref="T270">
    <cfRule type="cellIs" dxfId="210" priority="9826" operator="greaterThan">
      <formula>30</formula>
    </cfRule>
  </conditionalFormatting>
  <conditionalFormatting sqref="C271">
    <cfRule type="cellIs" dxfId="209" priority="9827" operator="lessThan">
      <formula>0</formula>
    </cfRule>
  </conditionalFormatting>
  <conditionalFormatting sqref="C271">
    <cfRule type="cellIs" dxfId="208" priority="9828" operator="greaterThan">
      <formula>100</formula>
    </cfRule>
  </conditionalFormatting>
  <conditionalFormatting sqref="F271">
    <cfRule type="cellIs" dxfId="207" priority="9829" operator="lessThan">
      <formula>0</formula>
    </cfRule>
  </conditionalFormatting>
  <conditionalFormatting sqref="F271">
    <cfRule type="cellIs" dxfId="206" priority="9830" operator="greaterThan">
      <formula>70</formula>
    </cfRule>
  </conditionalFormatting>
  <conditionalFormatting sqref="G271">
    <cfRule type="cellIs" dxfId="205" priority="9831" operator="lessThan">
      <formula>0</formula>
    </cfRule>
  </conditionalFormatting>
  <conditionalFormatting sqref="G271">
    <cfRule type="cellIs" dxfId="204" priority="9832" operator="greaterThan">
      <formula>70</formula>
    </cfRule>
  </conditionalFormatting>
  <conditionalFormatting sqref="H271">
    <cfRule type="cellIs" dxfId="203" priority="9833" operator="lessThan">
      <formula>0</formula>
    </cfRule>
  </conditionalFormatting>
  <conditionalFormatting sqref="H271">
    <cfRule type="cellIs" dxfId="202" priority="9834" operator="greaterThan">
      <formula>70</formula>
    </cfRule>
  </conditionalFormatting>
  <conditionalFormatting sqref="I271">
    <cfRule type="cellIs" dxfId="201" priority="9835" operator="lessThan">
      <formula>0</formula>
    </cfRule>
  </conditionalFormatting>
  <conditionalFormatting sqref="I271">
    <cfRule type="cellIs" dxfId="200" priority="9836" operator="greaterThan">
      <formula>70</formula>
    </cfRule>
  </conditionalFormatting>
  <conditionalFormatting sqref="J271">
    <cfRule type="cellIs" dxfId="199" priority="9837" operator="lessThan">
      <formula>0</formula>
    </cfRule>
  </conditionalFormatting>
  <conditionalFormatting sqref="J271">
    <cfRule type="cellIs" dxfId="198" priority="9838" operator="greaterThan">
      <formula>70</formula>
    </cfRule>
  </conditionalFormatting>
  <conditionalFormatting sqref="K271">
    <cfRule type="cellIs" dxfId="197" priority="9839" operator="lessThan">
      <formula>0</formula>
    </cfRule>
  </conditionalFormatting>
  <conditionalFormatting sqref="K271">
    <cfRule type="cellIs" dxfId="196" priority="9840" operator="greaterThan">
      <formula>70</formula>
    </cfRule>
  </conditionalFormatting>
  <conditionalFormatting sqref="S271">
    <cfRule type="cellIs" dxfId="195" priority="9841" operator="lessThan">
      <formula>0</formula>
    </cfRule>
  </conditionalFormatting>
  <conditionalFormatting sqref="S271">
    <cfRule type="cellIs" dxfId="194" priority="9842" operator="greaterThan">
      <formula>70</formula>
    </cfRule>
  </conditionalFormatting>
  <conditionalFormatting sqref="T271">
    <cfRule type="cellIs" dxfId="193" priority="9843" operator="lessThan">
      <formula>0</formula>
    </cfRule>
  </conditionalFormatting>
  <conditionalFormatting sqref="T271">
    <cfRule type="cellIs" dxfId="192" priority="9844" operator="greaterThan">
      <formula>30</formula>
    </cfRule>
  </conditionalFormatting>
  <conditionalFormatting sqref="C272">
    <cfRule type="cellIs" dxfId="191" priority="9845" operator="lessThan">
      <formula>0</formula>
    </cfRule>
  </conditionalFormatting>
  <conditionalFormatting sqref="C272">
    <cfRule type="cellIs" dxfId="190" priority="9846" operator="greaterThan">
      <formula>100</formula>
    </cfRule>
  </conditionalFormatting>
  <conditionalFormatting sqref="F272">
    <cfRule type="cellIs" dxfId="189" priority="9847" operator="lessThan">
      <formula>0</formula>
    </cfRule>
  </conditionalFormatting>
  <conditionalFormatting sqref="F272">
    <cfRule type="cellIs" dxfId="188" priority="9848" operator="greaterThan">
      <formula>70</formula>
    </cfRule>
  </conditionalFormatting>
  <conditionalFormatting sqref="G272">
    <cfRule type="cellIs" dxfId="187" priority="9849" operator="lessThan">
      <formula>0</formula>
    </cfRule>
  </conditionalFormatting>
  <conditionalFormatting sqref="G272">
    <cfRule type="cellIs" dxfId="186" priority="9850" operator="greaterThan">
      <formula>70</formula>
    </cfRule>
  </conditionalFormatting>
  <conditionalFormatting sqref="H272">
    <cfRule type="cellIs" dxfId="185" priority="9851" operator="lessThan">
      <formula>0</formula>
    </cfRule>
  </conditionalFormatting>
  <conditionalFormatting sqref="H272">
    <cfRule type="cellIs" dxfId="184" priority="9852" operator="greaterThan">
      <formula>70</formula>
    </cfRule>
  </conditionalFormatting>
  <conditionalFormatting sqref="I272">
    <cfRule type="cellIs" dxfId="183" priority="9853" operator="lessThan">
      <formula>0</formula>
    </cfRule>
  </conditionalFormatting>
  <conditionalFormatting sqref="I272">
    <cfRule type="cellIs" dxfId="182" priority="9854" operator="greaterThan">
      <formula>70</formula>
    </cfRule>
  </conditionalFormatting>
  <conditionalFormatting sqref="J272">
    <cfRule type="cellIs" dxfId="181" priority="9855" operator="lessThan">
      <formula>0</formula>
    </cfRule>
  </conditionalFormatting>
  <conditionalFormatting sqref="J272">
    <cfRule type="cellIs" dxfId="180" priority="9856" operator="greaterThan">
      <formula>70</formula>
    </cfRule>
  </conditionalFormatting>
  <conditionalFormatting sqref="K272">
    <cfRule type="cellIs" dxfId="179" priority="9857" operator="lessThan">
      <formula>0</formula>
    </cfRule>
  </conditionalFormatting>
  <conditionalFormatting sqref="K272">
    <cfRule type="cellIs" dxfId="178" priority="9858" operator="greaterThan">
      <formula>70</formula>
    </cfRule>
  </conditionalFormatting>
  <conditionalFormatting sqref="S272">
    <cfRule type="cellIs" dxfId="177" priority="9859" operator="lessThan">
      <formula>0</formula>
    </cfRule>
  </conditionalFormatting>
  <conditionalFormatting sqref="S272">
    <cfRule type="cellIs" dxfId="176" priority="9860" operator="greaterThan">
      <formula>70</formula>
    </cfRule>
  </conditionalFormatting>
  <conditionalFormatting sqref="T272">
    <cfRule type="cellIs" dxfId="175" priority="9861" operator="lessThan">
      <formula>0</formula>
    </cfRule>
  </conditionalFormatting>
  <conditionalFormatting sqref="T272">
    <cfRule type="cellIs" dxfId="174" priority="9862" operator="greaterThan">
      <formula>30</formula>
    </cfRule>
  </conditionalFormatting>
  <conditionalFormatting sqref="C273">
    <cfRule type="cellIs" dxfId="173" priority="9863" operator="lessThan">
      <formula>0</formula>
    </cfRule>
  </conditionalFormatting>
  <conditionalFormatting sqref="C273">
    <cfRule type="cellIs" dxfId="172" priority="9864" operator="greaterThan">
      <formula>100</formula>
    </cfRule>
  </conditionalFormatting>
  <conditionalFormatting sqref="F273">
    <cfRule type="cellIs" dxfId="171" priority="9865" operator="lessThan">
      <formula>0</formula>
    </cfRule>
  </conditionalFormatting>
  <conditionalFormatting sqref="F273">
    <cfRule type="cellIs" dxfId="170" priority="9866" operator="greaterThan">
      <formula>70</formula>
    </cfRule>
  </conditionalFormatting>
  <conditionalFormatting sqref="G273">
    <cfRule type="cellIs" dxfId="169" priority="9867" operator="lessThan">
      <formula>0</formula>
    </cfRule>
  </conditionalFormatting>
  <conditionalFormatting sqref="G273">
    <cfRule type="cellIs" dxfId="168" priority="9868" operator="greaterThan">
      <formula>70</formula>
    </cfRule>
  </conditionalFormatting>
  <conditionalFormatting sqref="H273">
    <cfRule type="cellIs" dxfId="167" priority="9869" operator="lessThan">
      <formula>0</formula>
    </cfRule>
  </conditionalFormatting>
  <conditionalFormatting sqref="H273">
    <cfRule type="cellIs" dxfId="166" priority="9870" operator="greaterThan">
      <formula>70</formula>
    </cfRule>
  </conditionalFormatting>
  <conditionalFormatting sqref="I273">
    <cfRule type="cellIs" dxfId="165" priority="9871" operator="lessThan">
      <formula>0</formula>
    </cfRule>
  </conditionalFormatting>
  <conditionalFormatting sqref="I273">
    <cfRule type="cellIs" dxfId="164" priority="9872" operator="greaterThan">
      <formula>70</formula>
    </cfRule>
  </conditionalFormatting>
  <conditionalFormatting sqref="J273">
    <cfRule type="cellIs" dxfId="163" priority="9873" operator="lessThan">
      <formula>0</formula>
    </cfRule>
  </conditionalFormatting>
  <conditionalFormatting sqref="J273">
    <cfRule type="cellIs" dxfId="162" priority="9874" operator="greaterThan">
      <formula>70</formula>
    </cfRule>
  </conditionalFormatting>
  <conditionalFormatting sqref="K273">
    <cfRule type="cellIs" dxfId="161" priority="9875" operator="lessThan">
      <formula>0</formula>
    </cfRule>
  </conditionalFormatting>
  <conditionalFormatting sqref="K273">
    <cfRule type="cellIs" dxfId="160" priority="9876" operator="greaterThan">
      <formula>70</formula>
    </cfRule>
  </conditionalFormatting>
  <conditionalFormatting sqref="S273">
    <cfRule type="cellIs" dxfId="159" priority="9877" operator="lessThan">
      <formula>0</formula>
    </cfRule>
  </conditionalFormatting>
  <conditionalFormatting sqref="S273">
    <cfRule type="cellIs" dxfId="158" priority="9878" operator="greaterThan">
      <formula>70</formula>
    </cfRule>
  </conditionalFormatting>
  <conditionalFormatting sqref="T273">
    <cfRule type="cellIs" dxfId="157" priority="9879" operator="lessThan">
      <formula>0</formula>
    </cfRule>
  </conditionalFormatting>
  <conditionalFormatting sqref="T273">
    <cfRule type="cellIs" dxfId="156" priority="9880" operator="greaterThan">
      <formula>30</formula>
    </cfRule>
  </conditionalFormatting>
  <conditionalFormatting sqref="C274">
    <cfRule type="cellIs" dxfId="155" priority="9881" operator="lessThan">
      <formula>0</formula>
    </cfRule>
  </conditionalFormatting>
  <conditionalFormatting sqref="C274">
    <cfRule type="cellIs" dxfId="154" priority="9882" operator="greaterThan">
      <formula>100</formula>
    </cfRule>
  </conditionalFormatting>
  <conditionalFormatting sqref="F274">
    <cfRule type="cellIs" dxfId="153" priority="9883" operator="lessThan">
      <formula>0</formula>
    </cfRule>
  </conditionalFormatting>
  <conditionalFormatting sqref="F274">
    <cfRule type="cellIs" dxfId="152" priority="9884" operator="greaterThan">
      <formula>70</formula>
    </cfRule>
  </conditionalFormatting>
  <conditionalFormatting sqref="G274">
    <cfRule type="cellIs" dxfId="151" priority="9885" operator="lessThan">
      <formula>0</formula>
    </cfRule>
  </conditionalFormatting>
  <conditionalFormatting sqref="G274">
    <cfRule type="cellIs" dxfId="150" priority="9886" operator="greaterThan">
      <formula>70</formula>
    </cfRule>
  </conditionalFormatting>
  <conditionalFormatting sqref="H274">
    <cfRule type="cellIs" dxfId="149" priority="9887" operator="lessThan">
      <formula>0</formula>
    </cfRule>
  </conditionalFormatting>
  <conditionalFormatting sqref="H274">
    <cfRule type="cellIs" dxfId="148" priority="9888" operator="greaterThan">
      <formula>70</formula>
    </cfRule>
  </conditionalFormatting>
  <conditionalFormatting sqref="I274">
    <cfRule type="cellIs" dxfId="147" priority="9889" operator="lessThan">
      <formula>0</formula>
    </cfRule>
  </conditionalFormatting>
  <conditionalFormatting sqref="I274">
    <cfRule type="cellIs" dxfId="146" priority="9890" operator="greaterThan">
      <formula>70</formula>
    </cfRule>
  </conditionalFormatting>
  <conditionalFormatting sqref="J274">
    <cfRule type="cellIs" dxfId="145" priority="9891" operator="lessThan">
      <formula>0</formula>
    </cfRule>
  </conditionalFormatting>
  <conditionalFormatting sqref="J274">
    <cfRule type="cellIs" dxfId="144" priority="9892" operator="greaterThan">
      <formula>70</formula>
    </cfRule>
  </conditionalFormatting>
  <conditionalFormatting sqref="K274">
    <cfRule type="cellIs" dxfId="143" priority="9893" operator="lessThan">
      <formula>0</formula>
    </cfRule>
  </conditionalFormatting>
  <conditionalFormatting sqref="K274">
    <cfRule type="cellIs" dxfId="142" priority="9894" operator="greaterThan">
      <formula>70</formula>
    </cfRule>
  </conditionalFormatting>
  <conditionalFormatting sqref="S274">
    <cfRule type="cellIs" dxfId="141" priority="9895" operator="lessThan">
      <formula>0</formula>
    </cfRule>
  </conditionalFormatting>
  <conditionalFormatting sqref="S274">
    <cfRule type="cellIs" dxfId="140" priority="9896" operator="greaterThan">
      <formula>70</formula>
    </cfRule>
  </conditionalFormatting>
  <conditionalFormatting sqref="T274">
    <cfRule type="cellIs" dxfId="139" priority="9897" operator="lessThan">
      <formula>0</formula>
    </cfRule>
  </conditionalFormatting>
  <conditionalFormatting sqref="T274">
    <cfRule type="cellIs" dxfId="138" priority="9898" operator="greaterThan">
      <formula>30</formula>
    </cfRule>
  </conditionalFormatting>
  <conditionalFormatting sqref="C275">
    <cfRule type="cellIs" dxfId="137" priority="9899" operator="lessThan">
      <formula>0</formula>
    </cfRule>
  </conditionalFormatting>
  <conditionalFormatting sqref="C275">
    <cfRule type="cellIs" dxfId="136" priority="9900" operator="greaterThan">
      <formula>100</formula>
    </cfRule>
  </conditionalFormatting>
  <conditionalFormatting sqref="F275">
    <cfRule type="cellIs" dxfId="135" priority="9901" operator="lessThan">
      <formula>0</formula>
    </cfRule>
  </conditionalFormatting>
  <conditionalFormatting sqref="F275">
    <cfRule type="cellIs" dxfId="134" priority="9902" operator="greaterThan">
      <formula>70</formula>
    </cfRule>
  </conditionalFormatting>
  <conditionalFormatting sqref="G275">
    <cfRule type="cellIs" dxfId="133" priority="9903" operator="lessThan">
      <formula>0</formula>
    </cfRule>
  </conditionalFormatting>
  <conditionalFormatting sqref="G275">
    <cfRule type="cellIs" dxfId="132" priority="9904" operator="greaterThan">
      <formula>70</formula>
    </cfRule>
  </conditionalFormatting>
  <conditionalFormatting sqref="H275">
    <cfRule type="cellIs" dxfId="131" priority="9905" operator="lessThan">
      <formula>0</formula>
    </cfRule>
  </conditionalFormatting>
  <conditionalFormatting sqref="H275">
    <cfRule type="cellIs" dxfId="130" priority="9906" operator="greaterThan">
      <formula>70</formula>
    </cfRule>
  </conditionalFormatting>
  <conditionalFormatting sqref="I275">
    <cfRule type="cellIs" dxfId="129" priority="9907" operator="lessThan">
      <formula>0</formula>
    </cfRule>
  </conditionalFormatting>
  <conditionalFormatting sqref="I275">
    <cfRule type="cellIs" dxfId="128" priority="9908" operator="greaterThan">
      <formula>70</formula>
    </cfRule>
  </conditionalFormatting>
  <conditionalFormatting sqref="J275">
    <cfRule type="cellIs" dxfId="127" priority="9909" operator="lessThan">
      <formula>0</formula>
    </cfRule>
  </conditionalFormatting>
  <conditionalFormatting sqref="J275">
    <cfRule type="cellIs" dxfId="126" priority="9910" operator="greaterThan">
      <formula>70</formula>
    </cfRule>
  </conditionalFormatting>
  <conditionalFormatting sqref="K275">
    <cfRule type="cellIs" dxfId="125" priority="9911" operator="lessThan">
      <formula>0</formula>
    </cfRule>
  </conditionalFormatting>
  <conditionalFormatting sqref="K275">
    <cfRule type="cellIs" dxfId="124" priority="9912" operator="greaterThan">
      <formula>70</formula>
    </cfRule>
  </conditionalFormatting>
  <conditionalFormatting sqref="S275">
    <cfRule type="cellIs" dxfId="123" priority="9913" operator="lessThan">
      <formula>0</formula>
    </cfRule>
  </conditionalFormatting>
  <conditionalFormatting sqref="S275">
    <cfRule type="cellIs" dxfId="122" priority="9914" operator="greaterThan">
      <formula>70</formula>
    </cfRule>
  </conditionalFormatting>
  <conditionalFormatting sqref="T275">
    <cfRule type="cellIs" dxfId="121" priority="9915" operator="lessThan">
      <formula>0</formula>
    </cfRule>
  </conditionalFormatting>
  <conditionalFormatting sqref="T275">
    <cfRule type="cellIs" dxfId="120" priority="9916" operator="greaterThan">
      <formula>30</formula>
    </cfRule>
  </conditionalFormatting>
  <conditionalFormatting sqref="C276">
    <cfRule type="cellIs" dxfId="119" priority="9917" operator="lessThan">
      <formula>0</formula>
    </cfRule>
  </conditionalFormatting>
  <conditionalFormatting sqref="C276">
    <cfRule type="cellIs" dxfId="118" priority="9918" operator="greaterThan">
      <formula>100</formula>
    </cfRule>
  </conditionalFormatting>
  <conditionalFormatting sqref="F276">
    <cfRule type="cellIs" dxfId="117" priority="9919" operator="lessThan">
      <formula>0</formula>
    </cfRule>
  </conditionalFormatting>
  <conditionalFormatting sqref="F276">
    <cfRule type="cellIs" dxfId="116" priority="9920" operator="greaterThan">
      <formula>70</formula>
    </cfRule>
  </conditionalFormatting>
  <conditionalFormatting sqref="G276">
    <cfRule type="cellIs" dxfId="115" priority="9921" operator="lessThan">
      <formula>0</formula>
    </cfRule>
  </conditionalFormatting>
  <conditionalFormatting sqref="G276">
    <cfRule type="cellIs" dxfId="114" priority="9922" operator="greaterThan">
      <formula>70</formula>
    </cfRule>
  </conditionalFormatting>
  <conditionalFormatting sqref="H276">
    <cfRule type="cellIs" dxfId="113" priority="9923" operator="lessThan">
      <formula>0</formula>
    </cfRule>
  </conditionalFormatting>
  <conditionalFormatting sqref="H276">
    <cfRule type="cellIs" dxfId="112" priority="9924" operator="greaterThan">
      <formula>70</formula>
    </cfRule>
  </conditionalFormatting>
  <conditionalFormatting sqref="I276">
    <cfRule type="cellIs" dxfId="111" priority="9925" operator="lessThan">
      <formula>0</formula>
    </cfRule>
  </conditionalFormatting>
  <conditionalFormatting sqref="I276">
    <cfRule type="cellIs" dxfId="110" priority="9926" operator="greaterThan">
      <formula>70</formula>
    </cfRule>
  </conditionalFormatting>
  <conditionalFormatting sqref="J276">
    <cfRule type="cellIs" dxfId="109" priority="9927" operator="lessThan">
      <formula>0</formula>
    </cfRule>
  </conditionalFormatting>
  <conditionalFormatting sqref="J276">
    <cfRule type="cellIs" dxfId="108" priority="9928" operator="greaterThan">
      <formula>70</formula>
    </cfRule>
  </conditionalFormatting>
  <conditionalFormatting sqref="K276">
    <cfRule type="cellIs" dxfId="107" priority="9929" operator="lessThan">
      <formula>0</formula>
    </cfRule>
  </conditionalFormatting>
  <conditionalFormatting sqref="K276">
    <cfRule type="cellIs" dxfId="106" priority="9930" operator="greaterThan">
      <formula>70</formula>
    </cfRule>
  </conditionalFormatting>
  <conditionalFormatting sqref="S276">
    <cfRule type="cellIs" dxfId="105" priority="9931" operator="lessThan">
      <formula>0</formula>
    </cfRule>
  </conditionalFormatting>
  <conditionalFormatting sqref="S276">
    <cfRule type="cellIs" dxfId="104" priority="9932" operator="greaterThan">
      <formula>70</formula>
    </cfRule>
  </conditionalFormatting>
  <conditionalFormatting sqref="T276">
    <cfRule type="cellIs" dxfId="103" priority="9933" operator="lessThan">
      <formula>0</formula>
    </cfRule>
  </conditionalFormatting>
  <conditionalFormatting sqref="T276">
    <cfRule type="cellIs" dxfId="102" priority="9934" operator="greaterThan">
      <formula>30</formula>
    </cfRule>
  </conditionalFormatting>
  <conditionalFormatting sqref="C277">
    <cfRule type="cellIs" dxfId="101" priority="9935" operator="lessThan">
      <formula>0</formula>
    </cfRule>
  </conditionalFormatting>
  <conditionalFormatting sqref="C277">
    <cfRule type="cellIs" dxfId="100" priority="9936" operator="greaterThan">
      <formula>100</formula>
    </cfRule>
  </conditionalFormatting>
  <conditionalFormatting sqref="F277">
    <cfRule type="cellIs" dxfId="99" priority="9937" operator="lessThan">
      <formula>0</formula>
    </cfRule>
  </conditionalFormatting>
  <conditionalFormatting sqref="F277">
    <cfRule type="cellIs" dxfId="98" priority="9938" operator="greaterThan">
      <formula>70</formula>
    </cfRule>
  </conditionalFormatting>
  <conditionalFormatting sqref="G277">
    <cfRule type="cellIs" dxfId="97" priority="9939" operator="lessThan">
      <formula>0</formula>
    </cfRule>
  </conditionalFormatting>
  <conditionalFormatting sqref="G277">
    <cfRule type="cellIs" dxfId="96" priority="9940" operator="greaterThan">
      <formula>70</formula>
    </cfRule>
  </conditionalFormatting>
  <conditionalFormatting sqref="H277">
    <cfRule type="cellIs" dxfId="95" priority="9941" operator="lessThan">
      <formula>0</formula>
    </cfRule>
  </conditionalFormatting>
  <conditionalFormatting sqref="H277">
    <cfRule type="cellIs" dxfId="94" priority="9942" operator="greaterThan">
      <formula>70</formula>
    </cfRule>
  </conditionalFormatting>
  <conditionalFormatting sqref="I277">
    <cfRule type="cellIs" dxfId="93" priority="9943" operator="lessThan">
      <formula>0</formula>
    </cfRule>
  </conditionalFormatting>
  <conditionalFormatting sqref="I277">
    <cfRule type="cellIs" dxfId="92" priority="9944" operator="greaterThan">
      <formula>70</formula>
    </cfRule>
  </conditionalFormatting>
  <conditionalFormatting sqref="J277">
    <cfRule type="cellIs" dxfId="91" priority="9945" operator="lessThan">
      <formula>0</formula>
    </cfRule>
  </conditionalFormatting>
  <conditionalFormatting sqref="J277">
    <cfRule type="cellIs" dxfId="90" priority="9946" operator="greaterThan">
      <formula>70</formula>
    </cfRule>
  </conditionalFormatting>
  <conditionalFormatting sqref="K277">
    <cfRule type="cellIs" dxfId="89" priority="9947" operator="lessThan">
      <formula>0</formula>
    </cfRule>
  </conditionalFormatting>
  <conditionalFormatting sqref="K277">
    <cfRule type="cellIs" dxfId="88" priority="9948" operator="greaterThan">
      <formula>70</formula>
    </cfRule>
  </conditionalFormatting>
  <conditionalFormatting sqref="S277">
    <cfRule type="cellIs" dxfId="87" priority="9949" operator="lessThan">
      <formula>0</formula>
    </cfRule>
  </conditionalFormatting>
  <conditionalFormatting sqref="S277">
    <cfRule type="cellIs" dxfId="86" priority="9950" operator="greaterThan">
      <formula>70</formula>
    </cfRule>
  </conditionalFormatting>
  <conditionalFormatting sqref="T277">
    <cfRule type="cellIs" dxfId="85" priority="9951" operator="lessThan">
      <formula>0</formula>
    </cfRule>
  </conditionalFormatting>
  <conditionalFormatting sqref="T277">
    <cfRule type="cellIs" dxfId="84" priority="9952" operator="greaterThan">
      <formula>30</formula>
    </cfRule>
  </conditionalFormatting>
  <conditionalFormatting sqref="C278">
    <cfRule type="cellIs" dxfId="83" priority="9953" operator="lessThan">
      <formula>0</formula>
    </cfRule>
  </conditionalFormatting>
  <conditionalFormatting sqref="C278">
    <cfRule type="cellIs" dxfId="82" priority="9954" operator="greaterThan">
      <formula>100</formula>
    </cfRule>
  </conditionalFormatting>
  <conditionalFormatting sqref="F278">
    <cfRule type="cellIs" dxfId="81" priority="9955" operator="lessThan">
      <formula>0</formula>
    </cfRule>
  </conditionalFormatting>
  <conditionalFormatting sqref="F278">
    <cfRule type="cellIs" dxfId="80" priority="9956" operator="greaterThan">
      <formula>70</formula>
    </cfRule>
  </conditionalFormatting>
  <conditionalFormatting sqref="G278">
    <cfRule type="cellIs" dxfId="79" priority="9957" operator="lessThan">
      <formula>0</formula>
    </cfRule>
  </conditionalFormatting>
  <conditionalFormatting sqref="G278">
    <cfRule type="cellIs" dxfId="78" priority="9958" operator="greaterThan">
      <formula>70</formula>
    </cfRule>
  </conditionalFormatting>
  <conditionalFormatting sqref="H278">
    <cfRule type="cellIs" dxfId="77" priority="9959" operator="lessThan">
      <formula>0</formula>
    </cfRule>
  </conditionalFormatting>
  <conditionalFormatting sqref="H278">
    <cfRule type="cellIs" dxfId="76" priority="9960" operator="greaterThan">
      <formula>70</formula>
    </cfRule>
  </conditionalFormatting>
  <conditionalFormatting sqref="I278">
    <cfRule type="cellIs" dxfId="75" priority="9961" operator="lessThan">
      <formula>0</formula>
    </cfRule>
  </conditionalFormatting>
  <conditionalFormatting sqref="I278">
    <cfRule type="cellIs" dxfId="74" priority="9962" operator="greaterThan">
      <formula>70</formula>
    </cfRule>
  </conditionalFormatting>
  <conditionalFormatting sqref="J278">
    <cfRule type="cellIs" dxfId="73" priority="9963" operator="lessThan">
      <formula>0</formula>
    </cfRule>
  </conditionalFormatting>
  <conditionalFormatting sqref="J278">
    <cfRule type="cellIs" dxfId="72" priority="9964" operator="greaterThan">
      <formula>70</formula>
    </cfRule>
  </conditionalFormatting>
  <conditionalFormatting sqref="K278">
    <cfRule type="cellIs" dxfId="71" priority="9965" operator="lessThan">
      <formula>0</formula>
    </cfRule>
  </conditionalFormatting>
  <conditionalFormatting sqref="K278">
    <cfRule type="cellIs" dxfId="70" priority="9966" operator="greaterThan">
      <formula>70</formula>
    </cfRule>
  </conditionalFormatting>
  <conditionalFormatting sqref="S278">
    <cfRule type="cellIs" dxfId="69" priority="9967" operator="lessThan">
      <formula>0</formula>
    </cfRule>
  </conditionalFormatting>
  <conditionalFormatting sqref="S278">
    <cfRule type="cellIs" dxfId="68" priority="9968" operator="greaterThan">
      <formula>70</formula>
    </cfRule>
  </conditionalFormatting>
  <conditionalFormatting sqref="T278">
    <cfRule type="cellIs" dxfId="67" priority="9969" operator="lessThan">
      <formula>0</formula>
    </cfRule>
  </conditionalFormatting>
  <conditionalFormatting sqref="T278">
    <cfRule type="cellIs" dxfId="66" priority="9970" operator="greaterThan">
      <formula>30</formula>
    </cfRule>
  </conditionalFormatting>
  <conditionalFormatting sqref="C279">
    <cfRule type="cellIs" dxfId="65" priority="9971" operator="lessThan">
      <formula>0</formula>
    </cfRule>
  </conditionalFormatting>
  <conditionalFormatting sqref="C279">
    <cfRule type="cellIs" dxfId="64" priority="9972" operator="greaterThan">
      <formula>100</formula>
    </cfRule>
  </conditionalFormatting>
  <conditionalFormatting sqref="F279">
    <cfRule type="cellIs" dxfId="63" priority="9973" operator="lessThan">
      <formula>0</formula>
    </cfRule>
  </conditionalFormatting>
  <conditionalFormatting sqref="F279">
    <cfRule type="cellIs" dxfId="62" priority="9974" operator="greaterThan">
      <formula>70</formula>
    </cfRule>
  </conditionalFormatting>
  <conditionalFormatting sqref="G279">
    <cfRule type="cellIs" dxfId="61" priority="9975" operator="lessThan">
      <formula>0</formula>
    </cfRule>
  </conditionalFormatting>
  <conditionalFormatting sqref="G279">
    <cfRule type="cellIs" dxfId="60" priority="9976" operator="greaterThan">
      <formula>70</formula>
    </cfRule>
  </conditionalFormatting>
  <conditionalFormatting sqref="H279">
    <cfRule type="cellIs" dxfId="59" priority="9977" operator="lessThan">
      <formula>0</formula>
    </cfRule>
  </conditionalFormatting>
  <conditionalFormatting sqref="H279">
    <cfRule type="cellIs" dxfId="58" priority="9978" operator="greaterThan">
      <formula>70</formula>
    </cfRule>
  </conditionalFormatting>
  <conditionalFormatting sqref="I279">
    <cfRule type="cellIs" dxfId="57" priority="9979" operator="lessThan">
      <formula>0</formula>
    </cfRule>
  </conditionalFormatting>
  <conditionalFormatting sqref="I279">
    <cfRule type="cellIs" dxfId="56" priority="9980" operator="greaterThan">
      <formula>70</formula>
    </cfRule>
  </conditionalFormatting>
  <conditionalFormatting sqref="J279">
    <cfRule type="cellIs" dxfId="55" priority="9981" operator="lessThan">
      <formula>0</formula>
    </cfRule>
  </conditionalFormatting>
  <conditionalFormatting sqref="J279">
    <cfRule type="cellIs" dxfId="54" priority="9982" operator="greaterThan">
      <formula>70</formula>
    </cfRule>
  </conditionalFormatting>
  <conditionalFormatting sqref="K279">
    <cfRule type="cellIs" dxfId="53" priority="9983" operator="lessThan">
      <formula>0</formula>
    </cfRule>
  </conditionalFormatting>
  <conditionalFormatting sqref="K279">
    <cfRule type="cellIs" dxfId="52" priority="9984" operator="greaterThan">
      <formula>70</formula>
    </cfRule>
  </conditionalFormatting>
  <conditionalFormatting sqref="S279">
    <cfRule type="cellIs" dxfId="51" priority="9985" operator="lessThan">
      <formula>0</formula>
    </cfRule>
  </conditionalFormatting>
  <conditionalFormatting sqref="S279">
    <cfRule type="cellIs" dxfId="50" priority="9986" operator="greaterThan">
      <formula>70</formula>
    </cfRule>
  </conditionalFormatting>
  <conditionalFormatting sqref="T279">
    <cfRule type="cellIs" dxfId="49" priority="9987" operator="lessThan">
      <formula>0</formula>
    </cfRule>
  </conditionalFormatting>
  <conditionalFormatting sqref="T279">
    <cfRule type="cellIs" dxfId="48" priority="9988" operator="greaterThan">
      <formula>30</formula>
    </cfRule>
  </conditionalFormatting>
  <conditionalFormatting sqref="C280">
    <cfRule type="cellIs" dxfId="47" priority="9989" operator="lessThan">
      <formula>0</formula>
    </cfRule>
  </conditionalFormatting>
  <conditionalFormatting sqref="C280">
    <cfRule type="cellIs" dxfId="46" priority="9990" operator="greaterThan">
      <formula>100</formula>
    </cfRule>
  </conditionalFormatting>
  <conditionalFormatting sqref="F280">
    <cfRule type="cellIs" dxfId="45" priority="9991" operator="lessThan">
      <formula>0</formula>
    </cfRule>
  </conditionalFormatting>
  <conditionalFormatting sqref="F280">
    <cfRule type="cellIs" dxfId="44" priority="9992" operator="greaterThan">
      <formula>70</formula>
    </cfRule>
  </conditionalFormatting>
  <conditionalFormatting sqref="G280">
    <cfRule type="cellIs" dxfId="43" priority="9993" operator="lessThan">
      <formula>0</formula>
    </cfRule>
  </conditionalFormatting>
  <conditionalFormatting sqref="G280">
    <cfRule type="cellIs" dxfId="42" priority="9994" operator="greaterThan">
      <formula>70</formula>
    </cfRule>
  </conditionalFormatting>
  <conditionalFormatting sqref="H280">
    <cfRule type="cellIs" dxfId="41" priority="9995" operator="lessThan">
      <formula>0</formula>
    </cfRule>
  </conditionalFormatting>
  <conditionalFormatting sqref="H280">
    <cfRule type="cellIs" dxfId="40" priority="9996" operator="greaterThan">
      <formula>70</formula>
    </cfRule>
  </conditionalFormatting>
  <conditionalFormatting sqref="I280">
    <cfRule type="cellIs" dxfId="39" priority="9997" operator="lessThan">
      <formula>0</formula>
    </cfRule>
  </conditionalFormatting>
  <conditionalFormatting sqref="I280">
    <cfRule type="cellIs" dxfId="38" priority="9998" operator="greaterThan">
      <formula>70</formula>
    </cfRule>
  </conditionalFormatting>
  <conditionalFormatting sqref="J280">
    <cfRule type="cellIs" dxfId="37" priority="9999" operator="lessThan">
      <formula>0</formula>
    </cfRule>
  </conditionalFormatting>
  <conditionalFormatting sqref="J280">
    <cfRule type="cellIs" dxfId="36" priority="10000" operator="greaterThan">
      <formula>70</formula>
    </cfRule>
  </conditionalFormatting>
  <conditionalFormatting sqref="K280">
    <cfRule type="cellIs" dxfId="35" priority="10001" operator="lessThan">
      <formula>0</formula>
    </cfRule>
  </conditionalFormatting>
  <conditionalFormatting sqref="K280">
    <cfRule type="cellIs" dxfId="34" priority="10002" operator="greaterThan">
      <formula>70</formula>
    </cfRule>
  </conditionalFormatting>
  <conditionalFormatting sqref="S280">
    <cfRule type="cellIs" dxfId="33" priority="10003" operator="lessThan">
      <formula>0</formula>
    </cfRule>
  </conditionalFormatting>
  <conditionalFormatting sqref="S280">
    <cfRule type="cellIs" dxfId="32" priority="10004" operator="greaterThan">
      <formula>70</formula>
    </cfRule>
  </conditionalFormatting>
  <conditionalFormatting sqref="T280">
    <cfRule type="cellIs" dxfId="31" priority="10005" operator="lessThan">
      <formula>0</formula>
    </cfRule>
  </conditionalFormatting>
  <conditionalFormatting sqref="T280">
    <cfRule type="cellIs" dxfId="30" priority="10006" operator="greaterThan">
      <formula>30</formula>
    </cfRule>
  </conditionalFormatting>
  <conditionalFormatting sqref="C281">
    <cfRule type="cellIs" dxfId="29" priority="10007" operator="lessThan">
      <formula>0</formula>
    </cfRule>
  </conditionalFormatting>
  <conditionalFormatting sqref="C281">
    <cfRule type="cellIs" dxfId="28" priority="10008" operator="greaterThan">
      <formula>100</formula>
    </cfRule>
  </conditionalFormatting>
  <conditionalFormatting sqref="F281">
    <cfRule type="cellIs" dxfId="27" priority="10009" operator="lessThan">
      <formula>0</formula>
    </cfRule>
  </conditionalFormatting>
  <conditionalFormatting sqref="F281">
    <cfRule type="cellIs" dxfId="26" priority="10010" operator="greaterThan">
      <formula>70</formula>
    </cfRule>
  </conditionalFormatting>
  <conditionalFormatting sqref="G281">
    <cfRule type="cellIs" dxfId="25" priority="10011" operator="lessThan">
      <formula>0</formula>
    </cfRule>
  </conditionalFormatting>
  <conditionalFormatting sqref="G281">
    <cfRule type="cellIs" dxfId="24" priority="10012" operator="greaterThan">
      <formula>70</formula>
    </cfRule>
  </conditionalFormatting>
  <conditionalFormatting sqref="H281">
    <cfRule type="cellIs" dxfId="23" priority="10013" operator="lessThan">
      <formula>0</formula>
    </cfRule>
  </conditionalFormatting>
  <conditionalFormatting sqref="H281">
    <cfRule type="cellIs" dxfId="22" priority="10014" operator="greaterThan">
      <formula>70</formula>
    </cfRule>
  </conditionalFormatting>
  <conditionalFormatting sqref="I281">
    <cfRule type="cellIs" dxfId="21" priority="10015" operator="lessThan">
      <formula>0</formula>
    </cfRule>
  </conditionalFormatting>
  <conditionalFormatting sqref="I281">
    <cfRule type="cellIs" dxfId="20" priority="10016" operator="greaterThan">
      <formula>70</formula>
    </cfRule>
  </conditionalFormatting>
  <conditionalFormatting sqref="J281">
    <cfRule type="cellIs" dxfId="19" priority="10017" operator="lessThan">
      <formula>0</formula>
    </cfRule>
  </conditionalFormatting>
  <conditionalFormatting sqref="J281">
    <cfRule type="cellIs" dxfId="18" priority="10018" operator="greaterThan">
      <formula>70</formula>
    </cfRule>
  </conditionalFormatting>
  <conditionalFormatting sqref="K281">
    <cfRule type="cellIs" dxfId="17" priority="10019" operator="lessThan">
      <formula>0</formula>
    </cfRule>
  </conditionalFormatting>
  <conditionalFormatting sqref="K281">
    <cfRule type="cellIs" dxfId="16" priority="10020" operator="greaterThan">
      <formula>70</formula>
    </cfRule>
  </conditionalFormatting>
  <conditionalFormatting sqref="S281">
    <cfRule type="cellIs" dxfId="15" priority="10021" operator="lessThan">
      <formula>0</formula>
    </cfRule>
  </conditionalFormatting>
  <conditionalFormatting sqref="S281">
    <cfRule type="cellIs" dxfId="14" priority="10022" operator="greaterThan">
      <formula>70</formula>
    </cfRule>
  </conditionalFormatting>
  <conditionalFormatting sqref="T281">
    <cfRule type="cellIs" dxfId="13" priority="10023" operator="lessThan">
      <formula>0</formula>
    </cfRule>
  </conditionalFormatting>
  <conditionalFormatting sqref="T281">
    <cfRule type="cellIs" dxfId="12" priority="10024" operator="greaterThan">
      <formula>30</formula>
    </cfRule>
  </conditionalFormatting>
  <conditionalFormatting sqref="F21:I21 F9:I14 S9:T44 C9:C44">
    <cfRule type="cellIs" dxfId="11" priority="6" operator="lessThan">
      <formula>0</formula>
    </cfRule>
  </conditionalFormatting>
  <conditionalFormatting sqref="F21:I21 F9:I14 S9:S44">
    <cfRule type="cellIs" dxfId="10" priority="5" operator="greaterThan">
      <formula>70</formula>
    </cfRule>
  </conditionalFormatting>
  <conditionalFormatting sqref="C9:C44">
    <cfRule type="cellIs" dxfId="9" priority="4" operator="greaterThan">
      <formula>100</formula>
    </cfRule>
  </conditionalFormatting>
  <conditionalFormatting sqref="T9:T44">
    <cfRule type="cellIs" dxfId="8" priority="3" operator="greaterThan">
      <formula>30</formula>
    </cfRule>
  </conditionalFormatting>
  <conditionalFormatting sqref="F15:I44">
    <cfRule type="cellIs" dxfId="7" priority="1" operator="greaterThan">
      <formula>70</formula>
    </cfRule>
    <cfRule type="cellIs" dxfId="6" priority="2" operator="lessThan">
      <formula>0</formula>
    </cfRule>
  </conditionalFormatting>
  <dataValidations count="1">
    <dataValidation type="whole" allowBlank="1" showDropDown="1" showInputMessage="1" showErrorMessage="1" errorTitle="Input error" error="Number is not allowed! Only numbers between 0 and 30 are allowed!!" promptTitle="Allowed input" prompt="Only numbers between 0 and 30 are allowed." sqref="T9:T281">
      <formula1>0</formula1>
      <formula2>30</formula2>
    </dataValidation>
  </dataValidations>
  <printOptions horizontalCentered="1"/>
  <pageMargins left="1.25" right="1.25" top="0.75" bottom="1.4" header="0.3" footer="0.3"/>
  <pageSetup paperSize="9" scale="95" fitToHeight="0" orientation="landscape" r:id="rId1"/>
  <headerFooter scaleWithDoc="0">
    <oddHeader>&amp;L&amp;B&amp;RPage &amp;P of &amp;N</oddHeader>
    <oddFooter xml:space="preserve">&amp;LCourse Lecturers: Prof. E. F. Obikudo, Dr. S. O. Ejeba
Sign:_______Date:11-06-26
Dean: Prof. J. E. Yeseibo
Sign:_______Date:_________
&amp;RModerator:Prof. R. I. C. Alerechi  
Sign:_______ Date:11-06-26
HOD: Prof. E. F. Obikudo
Sign:_______Date ________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4"/>
  <sheetViews>
    <sheetView view="pageBreakPreview" topLeftCell="A35" zoomScale="60" zoomScaleNormal="90" workbookViewId="0">
      <selection sqref="A1:T64"/>
    </sheetView>
  </sheetViews>
  <sheetFormatPr defaultRowHeight="13" x14ac:dyDescent="0.3"/>
  <cols>
    <col min="1" max="1" width="6.3984375" customWidth="1"/>
    <col min="2" max="2" width="34.09765625" customWidth="1"/>
    <col min="4" max="4" width="8.296875" customWidth="1"/>
    <col min="6" max="6" width="6.3984375" customWidth="1"/>
    <col min="7" max="8" width="6.296875" customWidth="1"/>
    <col min="9" max="12" width="6.09765625" customWidth="1"/>
    <col min="13" max="13" width="5.69921875" customWidth="1"/>
    <col min="14" max="14" width="5.3984375" customWidth="1"/>
    <col min="15" max="17" width="5.296875" customWidth="1"/>
    <col min="18" max="18" width="5.3984375" customWidth="1"/>
    <col min="19" max="19" width="7.59765625" customWidth="1"/>
    <col min="20" max="20" width="7.8984375" customWidth="1"/>
  </cols>
  <sheetData>
    <row r="1" spans="1:20" ht="18" x14ac:dyDescent="0.3">
      <c r="A1" s="13" t="s">
        <v>0</v>
      </c>
      <c r="B1" s="14"/>
      <c r="C1" s="14"/>
      <c r="D1" s="14"/>
      <c r="E1" s="14"/>
      <c r="F1" s="13" t="s">
        <v>1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ht="18" x14ac:dyDescent="0.5">
      <c r="A2" s="15"/>
      <c r="B2" s="16"/>
      <c r="C2" s="14"/>
      <c r="D2" s="14"/>
      <c r="E2" s="17"/>
      <c r="F2" s="17"/>
      <c r="G2" s="17"/>
      <c r="H2" s="14"/>
      <c r="I2" s="14"/>
      <c r="J2" s="16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1:20" ht="18" x14ac:dyDescent="0.5">
      <c r="A3" s="16" t="s">
        <v>35</v>
      </c>
      <c r="B3" s="14"/>
      <c r="C3" s="14"/>
      <c r="D3" s="14"/>
      <c r="E3" s="18" t="s">
        <v>2</v>
      </c>
      <c r="F3" s="19"/>
      <c r="G3" s="16"/>
      <c r="H3" s="16" t="s">
        <v>33</v>
      </c>
      <c r="I3" s="14"/>
      <c r="J3" s="16"/>
      <c r="K3" s="16"/>
      <c r="L3" s="20" t="s">
        <v>3</v>
      </c>
      <c r="M3" s="20"/>
      <c r="N3" s="20"/>
      <c r="O3" s="20"/>
      <c r="P3" s="20"/>
      <c r="Q3" s="14"/>
      <c r="R3" s="14"/>
      <c r="S3" s="14"/>
      <c r="T3" s="14"/>
    </row>
    <row r="4" spans="1:20" ht="15.5" x14ac:dyDescent="0.45">
      <c r="A4" s="16" t="s">
        <v>32</v>
      </c>
      <c r="B4" s="14"/>
      <c r="C4" s="14"/>
      <c r="D4" s="14"/>
      <c r="E4" s="21" t="s">
        <v>4</v>
      </c>
      <c r="F4" s="17"/>
      <c r="G4" s="22"/>
      <c r="H4" s="16"/>
      <c r="I4" s="14"/>
      <c r="J4" s="16"/>
      <c r="K4" s="14"/>
      <c r="L4" s="30" t="s">
        <v>5</v>
      </c>
      <c r="M4" s="31"/>
      <c r="N4" s="23" t="s">
        <v>6</v>
      </c>
      <c r="O4" s="23" t="s">
        <v>7</v>
      </c>
      <c r="P4" s="23" t="s">
        <v>8</v>
      </c>
      <c r="Q4" s="23" t="s">
        <v>9</v>
      </c>
      <c r="R4" s="23" t="s">
        <v>10</v>
      </c>
      <c r="S4" s="23" t="s">
        <v>11</v>
      </c>
      <c r="T4" s="23" t="s">
        <v>12</v>
      </c>
    </row>
    <row r="5" spans="1:20" x14ac:dyDescent="0.3">
      <c r="A5" s="16" t="s">
        <v>36</v>
      </c>
      <c r="B5" s="14"/>
      <c r="C5" s="14"/>
      <c r="D5" s="14"/>
      <c r="E5" s="16" t="s">
        <v>37</v>
      </c>
      <c r="F5" s="16"/>
      <c r="G5" s="16"/>
      <c r="H5" s="14"/>
      <c r="I5" s="14"/>
      <c r="J5" s="16"/>
      <c r="K5" s="14"/>
      <c r="L5" s="7" t="s">
        <v>13</v>
      </c>
      <c r="M5" s="6"/>
      <c r="N5" s="1">
        <f>COUNTIF(D:D,"A")</f>
        <v>2</v>
      </c>
      <c r="O5" s="1">
        <f>COUNTIF(D:D,"B")</f>
        <v>5</v>
      </c>
      <c r="P5" s="1">
        <f>COUNTIF(D:D,"C")</f>
        <v>10</v>
      </c>
      <c r="Q5" s="1">
        <f>COUNTIF(D:D,"D")</f>
        <v>4</v>
      </c>
      <c r="R5" s="1">
        <f>COUNTIF(D:D,"E")</f>
        <v>19</v>
      </c>
      <c r="S5" s="1">
        <f>COUNTIF(D:D,"F")</f>
        <v>16</v>
      </c>
      <c r="T5" s="1">
        <f>SUM(N5:S5)</f>
        <v>56</v>
      </c>
    </row>
    <row r="6" spans="1:20" ht="16" thickBot="1" x14ac:dyDescent="0.5">
      <c r="A6" s="16" t="s">
        <v>14</v>
      </c>
      <c r="B6" s="14"/>
      <c r="C6" s="14"/>
      <c r="D6" s="14"/>
      <c r="E6" s="20" t="s">
        <v>15</v>
      </c>
      <c r="F6" s="14"/>
      <c r="G6" s="14"/>
      <c r="H6" s="17"/>
      <c r="I6" s="14"/>
      <c r="J6" s="16"/>
      <c r="K6" s="14"/>
      <c r="L6" s="8" t="s">
        <v>16</v>
      </c>
      <c r="M6" s="9"/>
      <c r="N6" s="2">
        <f>ROUND(($N$5*100)/$T$5,2)</f>
        <v>3.57</v>
      </c>
      <c r="O6" s="2">
        <f>ROUND(($O$5*100)/$T$5,2)</f>
        <v>8.93</v>
      </c>
      <c r="P6" s="2">
        <f>ROUND(($P$5*100)/$T$5,2)</f>
        <v>17.86</v>
      </c>
      <c r="Q6" s="2">
        <f>ROUND(($Q$5*100)/$T$5,2)</f>
        <v>7.14</v>
      </c>
      <c r="R6" s="2">
        <f>ROUND(($R$5*100)/$T$5,2)</f>
        <v>33.93</v>
      </c>
      <c r="S6" s="2">
        <f>ROUND(($S$5*100)/$T$5,2)</f>
        <v>28.57</v>
      </c>
      <c r="T6" s="3"/>
    </row>
    <row r="7" spans="1:20" x14ac:dyDescent="0.3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17"/>
      <c r="R7" s="17" t="s">
        <v>13</v>
      </c>
      <c r="S7" s="17"/>
      <c r="T7" s="10">
        <f>T5</f>
        <v>56</v>
      </c>
    </row>
    <row r="8" spans="1:20" ht="48.5" x14ac:dyDescent="0.45">
      <c r="A8" s="25" t="s">
        <v>17</v>
      </c>
      <c r="B8" s="26" t="s">
        <v>18</v>
      </c>
      <c r="C8" s="27" t="s">
        <v>19</v>
      </c>
      <c r="D8" s="26" t="s">
        <v>5</v>
      </c>
      <c r="E8" s="26" t="s">
        <v>20</v>
      </c>
      <c r="F8" s="26" t="s">
        <v>21</v>
      </c>
      <c r="G8" s="26" t="s">
        <v>22</v>
      </c>
      <c r="H8" s="26" t="s">
        <v>23</v>
      </c>
      <c r="I8" s="26" t="s">
        <v>24</v>
      </c>
      <c r="J8" s="26" t="s">
        <v>25</v>
      </c>
      <c r="K8" s="26" t="s">
        <v>26</v>
      </c>
      <c r="L8" s="26" t="s">
        <v>27</v>
      </c>
      <c r="M8" s="28" t="s">
        <v>28</v>
      </c>
      <c r="N8" s="28" t="s">
        <v>38</v>
      </c>
      <c r="O8" s="26"/>
      <c r="P8" s="26"/>
      <c r="Q8" s="26"/>
      <c r="R8" s="26"/>
      <c r="S8" s="27" t="s">
        <v>29</v>
      </c>
      <c r="T8" s="27" t="s">
        <v>30</v>
      </c>
    </row>
    <row r="9" spans="1:20" ht="15.5" x14ac:dyDescent="0.3">
      <c r="A9" s="12">
        <v>1</v>
      </c>
      <c r="B9" s="11" t="s">
        <v>39</v>
      </c>
      <c r="C9" s="5">
        <f>IF(TRIM($B9)&lt;&gt; "",$S9+$T9+$L9+$N9-$M9,"")</f>
        <v>28</v>
      </c>
      <c r="D9" s="5" t="str">
        <f t="shared" ref="D9:D64" si="0">IF(TRIM($B9)= "","",IF($E$4="D. TYPE: UNDER-GRADUATE", IF($C9&gt;=70,"A",IF($C9&gt;=60,"B",IF($C9&gt;=50,"C",IF($C9&gt;=45,"D",IF($C9&gt;=40,"E",IF(TRIM($B9)&lt;&gt; "","F","")))))), IF($E$4="D. TYPE: BASIC",IF($C9&gt;=70,"A",IF($C9&gt;=60,"B",IF( $C9&gt;=50,"C",IF( $C9 &gt;=40,"D",IF(TRIM($B9)&lt;&gt; "","F",""))))), IF($E$4="D. TYPE: CERTIFICATE",IF($C9&gt;=70,"A",IF($C9&gt;=60,"B",IF($C9&gt;=50,"C",IF($C9&gt;=40,"D",IF(TRIM($B9)&lt;&gt; "","F",""))))),  IF($C9&gt;=70,"A",IF($C9&gt;=60,"B",IF($C9&gt;=50,"C",IF(TRIM($B9)&lt;&gt; "","F",""))))))))</f>
        <v>F</v>
      </c>
      <c r="E9" s="5"/>
      <c r="F9" s="5">
        <v>5</v>
      </c>
      <c r="G9" s="5">
        <v>5</v>
      </c>
      <c r="H9" s="5">
        <v>5</v>
      </c>
      <c r="I9" s="5">
        <v>5</v>
      </c>
      <c r="J9" s="5"/>
      <c r="K9" s="5"/>
      <c r="L9" s="5"/>
      <c r="M9" s="5"/>
      <c r="N9" s="5"/>
      <c r="O9" s="5"/>
      <c r="P9" s="5"/>
      <c r="Q9" s="5"/>
      <c r="R9" s="5"/>
      <c r="S9" s="5">
        <f t="shared" ref="S9:S64" si="1">IF(TRIM($B9)&lt;&gt; "",$F9+$G9+$H9+$I9+$J9+$K9,"")</f>
        <v>20</v>
      </c>
      <c r="T9" s="12">
        <v>8</v>
      </c>
    </row>
    <row r="10" spans="1:20" ht="15.5" x14ac:dyDescent="0.3">
      <c r="A10" s="12">
        <v>2</v>
      </c>
      <c r="B10" s="11" t="s">
        <v>40</v>
      </c>
      <c r="C10" s="5">
        <f t="shared" ref="C10:C64" si="2">IF(TRIM($B10)&lt;&gt; "",$S10+$T10+$L10+$N10-$M10,"")</f>
        <v>23</v>
      </c>
      <c r="D10" s="5" t="str">
        <f t="shared" si="0"/>
        <v>F</v>
      </c>
      <c r="E10" s="5"/>
      <c r="F10" s="5">
        <v>2</v>
      </c>
      <c r="G10" s="5">
        <v>1</v>
      </c>
      <c r="H10" s="5">
        <v>3</v>
      </c>
      <c r="I10" s="5">
        <v>1</v>
      </c>
      <c r="J10" s="5"/>
      <c r="K10" s="5"/>
      <c r="L10" s="5"/>
      <c r="M10" s="5"/>
      <c r="N10" s="5"/>
      <c r="O10" s="5"/>
      <c r="P10" s="5"/>
      <c r="Q10" s="5"/>
      <c r="R10" s="5"/>
      <c r="S10" s="5">
        <f t="shared" si="1"/>
        <v>7</v>
      </c>
      <c r="T10" s="12">
        <v>16</v>
      </c>
    </row>
    <row r="11" spans="1:20" ht="15.5" x14ac:dyDescent="0.3">
      <c r="A11" s="12">
        <v>3</v>
      </c>
      <c r="B11" s="11" t="s">
        <v>41</v>
      </c>
      <c r="C11" s="5">
        <f t="shared" si="2"/>
        <v>65</v>
      </c>
      <c r="D11" s="5" t="str">
        <f t="shared" si="0"/>
        <v>B</v>
      </c>
      <c r="E11" s="5"/>
      <c r="F11" s="5">
        <v>16</v>
      </c>
      <c r="G11" s="5">
        <v>14</v>
      </c>
      <c r="H11" s="5">
        <v>12</v>
      </c>
      <c r="I11" s="5">
        <v>14</v>
      </c>
      <c r="J11" s="5"/>
      <c r="K11" s="5"/>
      <c r="L11" s="5"/>
      <c r="M11" s="5"/>
      <c r="N11" s="5"/>
      <c r="O11" s="5"/>
      <c r="P11" s="5"/>
      <c r="Q11" s="5"/>
      <c r="R11" s="5"/>
      <c r="S11" s="5">
        <f t="shared" si="1"/>
        <v>56</v>
      </c>
      <c r="T11" s="12">
        <v>9</v>
      </c>
    </row>
    <row r="12" spans="1:20" ht="15.5" x14ac:dyDescent="0.3">
      <c r="A12" s="12">
        <v>4</v>
      </c>
      <c r="B12" s="11" t="s">
        <v>42</v>
      </c>
      <c r="C12" s="5">
        <f t="shared" si="2"/>
        <v>40</v>
      </c>
      <c r="D12" s="5" t="str">
        <f t="shared" si="0"/>
        <v>E</v>
      </c>
      <c r="E12" s="5"/>
      <c r="F12" s="5">
        <v>10</v>
      </c>
      <c r="G12" s="5">
        <v>7</v>
      </c>
      <c r="H12" s="5">
        <v>7</v>
      </c>
      <c r="I12" s="5">
        <v>10</v>
      </c>
      <c r="J12" s="5"/>
      <c r="K12" s="5"/>
      <c r="L12" s="5"/>
      <c r="M12" s="5"/>
      <c r="N12" s="5"/>
      <c r="O12" s="5"/>
      <c r="P12" s="5"/>
      <c r="Q12" s="5"/>
      <c r="R12" s="5"/>
      <c r="S12" s="5">
        <f t="shared" si="1"/>
        <v>34</v>
      </c>
      <c r="T12" s="12">
        <v>6</v>
      </c>
    </row>
    <row r="13" spans="1:20" ht="15.5" x14ac:dyDescent="0.3">
      <c r="A13" s="12">
        <v>5</v>
      </c>
      <c r="B13" s="11" t="s">
        <v>43</v>
      </c>
      <c r="C13" s="5">
        <f t="shared" si="2"/>
        <v>40</v>
      </c>
      <c r="D13" s="5" t="str">
        <f t="shared" si="0"/>
        <v>E</v>
      </c>
      <c r="E13" s="5"/>
      <c r="F13" s="5">
        <v>7</v>
      </c>
      <c r="G13" s="5">
        <v>4</v>
      </c>
      <c r="H13" s="5">
        <v>7</v>
      </c>
      <c r="I13" s="5">
        <v>6</v>
      </c>
      <c r="J13" s="5"/>
      <c r="K13" s="5"/>
      <c r="L13" s="5"/>
      <c r="M13" s="5"/>
      <c r="N13" s="5"/>
      <c r="O13" s="5"/>
      <c r="P13" s="5"/>
      <c r="Q13" s="5"/>
      <c r="R13" s="5"/>
      <c r="S13" s="5">
        <f t="shared" si="1"/>
        <v>24</v>
      </c>
      <c r="T13" s="12">
        <v>16</v>
      </c>
    </row>
    <row r="14" spans="1:20" ht="15.5" x14ac:dyDescent="0.3">
      <c r="A14" s="12">
        <v>6</v>
      </c>
      <c r="B14" s="11" t="s">
        <v>44</v>
      </c>
      <c r="C14" s="5">
        <f t="shared" si="2"/>
        <v>52</v>
      </c>
      <c r="D14" s="5" t="str">
        <f t="shared" si="0"/>
        <v>C</v>
      </c>
      <c r="E14" s="5"/>
      <c r="F14" s="5">
        <v>8</v>
      </c>
      <c r="G14" s="5">
        <v>8</v>
      </c>
      <c r="H14" s="5">
        <v>8</v>
      </c>
      <c r="I14" s="5">
        <v>8</v>
      </c>
      <c r="J14" s="5"/>
      <c r="K14" s="5"/>
      <c r="L14" s="5"/>
      <c r="M14" s="5"/>
      <c r="N14" s="5"/>
      <c r="O14" s="5"/>
      <c r="P14" s="5"/>
      <c r="Q14" s="5"/>
      <c r="R14" s="5"/>
      <c r="S14" s="5">
        <f t="shared" si="1"/>
        <v>32</v>
      </c>
      <c r="T14" s="12">
        <v>20</v>
      </c>
    </row>
    <row r="15" spans="1:20" ht="15.5" x14ac:dyDescent="0.3">
      <c r="A15" s="12">
        <v>7</v>
      </c>
      <c r="B15" s="11" t="s">
        <v>45</v>
      </c>
      <c r="C15" s="5">
        <f t="shared" si="2"/>
        <v>55</v>
      </c>
      <c r="D15" s="5" t="str">
        <f t="shared" si="0"/>
        <v>C</v>
      </c>
      <c r="E15" s="5"/>
      <c r="F15" s="5">
        <v>10</v>
      </c>
      <c r="G15" s="5">
        <v>12</v>
      </c>
      <c r="H15" s="5">
        <v>8</v>
      </c>
      <c r="I15" s="5">
        <v>8</v>
      </c>
      <c r="J15" s="5"/>
      <c r="K15" s="5"/>
      <c r="L15" s="5"/>
      <c r="M15" s="5"/>
      <c r="N15" s="5"/>
      <c r="O15" s="5"/>
      <c r="P15" s="5"/>
      <c r="Q15" s="5"/>
      <c r="R15" s="5"/>
      <c r="S15" s="5">
        <f t="shared" si="1"/>
        <v>38</v>
      </c>
      <c r="T15" s="12">
        <v>17</v>
      </c>
    </row>
    <row r="16" spans="1:20" ht="15.5" x14ac:dyDescent="0.3">
      <c r="A16" s="12">
        <v>8</v>
      </c>
      <c r="B16" s="11" t="s">
        <v>46</v>
      </c>
      <c r="C16" s="5">
        <f t="shared" si="2"/>
        <v>28</v>
      </c>
      <c r="D16" s="5" t="str">
        <f t="shared" si="0"/>
        <v>F</v>
      </c>
      <c r="E16" s="5"/>
      <c r="F16" s="5">
        <v>5</v>
      </c>
      <c r="G16" s="5">
        <v>5</v>
      </c>
      <c r="H16" s="5">
        <v>5</v>
      </c>
      <c r="I16" s="5">
        <v>5</v>
      </c>
      <c r="J16" s="5"/>
      <c r="K16" s="5"/>
      <c r="L16" s="5"/>
      <c r="M16" s="5"/>
      <c r="N16" s="5"/>
      <c r="O16" s="5"/>
      <c r="P16" s="5"/>
      <c r="Q16" s="5"/>
      <c r="R16" s="5"/>
      <c r="S16" s="5">
        <f t="shared" si="1"/>
        <v>20</v>
      </c>
      <c r="T16" s="12">
        <v>8</v>
      </c>
    </row>
    <row r="17" spans="1:20" ht="15.5" x14ac:dyDescent="0.3">
      <c r="A17" s="12">
        <v>9</v>
      </c>
      <c r="B17" s="11" t="s">
        <v>47</v>
      </c>
      <c r="C17" s="5">
        <f t="shared" si="2"/>
        <v>26</v>
      </c>
      <c r="D17" s="5" t="str">
        <f t="shared" si="0"/>
        <v>F</v>
      </c>
      <c r="E17" s="5"/>
      <c r="F17" s="5">
        <v>6</v>
      </c>
      <c r="G17" s="5">
        <v>7</v>
      </c>
      <c r="H17" s="5">
        <v>7</v>
      </c>
      <c r="I17" s="5">
        <v>6</v>
      </c>
      <c r="J17" s="5"/>
      <c r="K17" s="5"/>
      <c r="L17" s="5"/>
      <c r="M17" s="5"/>
      <c r="N17" s="5"/>
      <c r="O17" s="5"/>
      <c r="P17" s="5"/>
      <c r="Q17" s="5"/>
      <c r="R17" s="5"/>
      <c r="S17" s="5">
        <f t="shared" si="1"/>
        <v>26</v>
      </c>
      <c r="T17" s="12"/>
    </row>
    <row r="18" spans="1:20" ht="15.5" x14ac:dyDescent="0.3">
      <c r="A18" s="12">
        <v>10</v>
      </c>
      <c r="B18" s="11" t="s">
        <v>48</v>
      </c>
      <c r="C18" s="5">
        <f t="shared" si="2"/>
        <v>70</v>
      </c>
      <c r="D18" s="5" t="str">
        <f t="shared" si="0"/>
        <v>A</v>
      </c>
      <c r="E18" s="5"/>
      <c r="F18" s="5">
        <v>15</v>
      </c>
      <c r="G18" s="5">
        <v>13</v>
      </c>
      <c r="H18" s="5">
        <v>13</v>
      </c>
      <c r="I18" s="5">
        <v>15</v>
      </c>
      <c r="J18" s="5"/>
      <c r="K18" s="5"/>
      <c r="L18" s="5"/>
      <c r="M18" s="5"/>
      <c r="N18" s="5"/>
      <c r="O18" s="5"/>
      <c r="P18" s="5"/>
      <c r="Q18" s="5"/>
      <c r="R18" s="5"/>
      <c r="S18" s="5">
        <f t="shared" si="1"/>
        <v>56</v>
      </c>
      <c r="T18" s="12">
        <v>14</v>
      </c>
    </row>
    <row r="19" spans="1:20" ht="15.5" x14ac:dyDescent="0.3">
      <c r="A19" s="12">
        <v>11</v>
      </c>
      <c r="B19" s="11" t="s">
        <v>49</v>
      </c>
      <c r="C19" s="5">
        <f t="shared" si="2"/>
        <v>54</v>
      </c>
      <c r="D19" s="5" t="str">
        <f t="shared" si="0"/>
        <v>C</v>
      </c>
      <c r="E19" s="5"/>
      <c r="F19" s="5">
        <v>14</v>
      </c>
      <c r="G19" s="5">
        <v>10</v>
      </c>
      <c r="H19" s="5">
        <v>10</v>
      </c>
      <c r="I19" s="5">
        <v>10</v>
      </c>
      <c r="J19" s="5"/>
      <c r="K19" s="5"/>
      <c r="L19" s="5"/>
      <c r="M19" s="5"/>
      <c r="N19" s="5"/>
      <c r="O19" s="5"/>
      <c r="P19" s="5"/>
      <c r="Q19" s="5"/>
      <c r="R19" s="5"/>
      <c r="S19" s="5">
        <f t="shared" si="1"/>
        <v>44</v>
      </c>
      <c r="T19" s="12">
        <v>10</v>
      </c>
    </row>
    <row r="20" spans="1:20" ht="15.5" x14ac:dyDescent="0.3">
      <c r="A20" s="12">
        <v>12</v>
      </c>
      <c r="B20" s="11" t="s">
        <v>50</v>
      </c>
      <c r="C20" s="5">
        <f t="shared" si="2"/>
        <v>20</v>
      </c>
      <c r="D20" s="5" t="str">
        <f t="shared" si="0"/>
        <v>F</v>
      </c>
      <c r="E20" s="5"/>
      <c r="F20" s="5">
        <v>3</v>
      </c>
      <c r="G20" s="5">
        <v>3</v>
      </c>
      <c r="H20" s="5">
        <v>3</v>
      </c>
      <c r="I20" s="5">
        <v>3</v>
      </c>
      <c r="J20" s="5"/>
      <c r="K20" s="5"/>
      <c r="L20" s="5"/>
      <c r="M20" s="5"/>
      <c r="N20" s="5"/>
      <c r="O20" s="5"/>
      <c r="P20" s="5"/>
      <c r="Q20" s="5"/>
      <c r="R20" s="5"/>
      <c r="S20" s="5">
        <f t="shared" si="1"/>
        <v>12</v>
      </c>
      <c r="T20" s="12">
        <v>8</v>
      </c>
    </row>
    <row r="21" spans="1:20" ht="15.5" x14ac:dyDescent="0.3">
      <c r="A21" s="12">
        <v>13</v>
      </c>
      <c r="B21" s="11" t="s">
        <v>51</v>
      </c>
      <c r="C21" s="5">
        <f t="shared" si="2"/>
        <v>12</v>
      </c>
      <c r="D21" s="5" t="str">
        <f t="shared" si="0"/>
        <v>F</v>
      </c>
      <c r="E21" s="5"/>
      <c r="F21" s="5">
        <v>3</v>
      </c>
      <c r="G21" s="5">
        <v>3</v>
      </c>
      <c r="H21" s="5">
        <v>3</v>
      </c>
      <c r="I21" s="5">
        <v>3</v>
      </c>
      <c r="J21" s="5"/>
      <c r="K21" s="5"/>
      <c r="L21" s="5"/>
      <c r="M21" s="5"/>
      <c r="N21" s="5"/>
      <c r="O21" s="5"/>
      <c r="P21" s="5"/>
      <c r="Q21" s="5"/>
      <c r="R21" s="5"/>
      <c r="S21" s="5">
        <f t="shared" si="1"/>
        <v>12</v>
      </c>
      <c r="T21" s="12"/>
    </row>
    <row r="22" spans="1:20" ht="15.5" x14ac:dyDescent="0.3">
      <c r="A22" s="12">
        <v>14</v>
      </c>
      <c r="B22" s="11" t="s">
        <v>52</v>
      </c>
      <c r="C22" s="5">
        <f t="shared" si="2"/>
        <v>44</v>
      </c>
      <c r="D22" s="5" t="str">
        <f t="shared" si="0"/>
        <v>E</v>
      </c>
      <c r="E22" s="5"/>
      <c r="F22" s="5">
        <v>9</v>
      </c>
      <c r="G22" s="5">
        <v>9</v>
      </c>
      <c r="H22" s="5">
        <v>5</v>
      </c>
      <c r="I22" s="5">
        <v>8</v>
      </c>
      <c r="J22" s="5"/>
      <c r="K22" s="5"/>
      <c r="L22" s="5"/>
      <c r="M22" s="5"/>
      <c r="N22" s="5"/>
      <c r="O22" s="5"/>
      <c r="P22" s="5"/>
      <c r="Q22" s="5"/>
      <c r="R22" s="5"/>
      <c r="S22" s="5">
        <f t="shared" si="1"/>
        <v>31</v>
      </c>
      <c r="T22" s="12">
        <v>13</v>
      </c>
    </row>
    <row r="23" spans="1:20" ht="15.5" x14ac:dyDescent="0.3">
      <c r="A23" s="12">
        <v>15</v>
      </c>
      <c r="B23" s="11" t="s">
        <v>53</v>
      </c>
      <c r="C23" s="5">
        <f t="shared" si="2"/>
        <v>18</v>
      </c>
      <c r="D23" s="5" t="str">
        <f t="shared" si="0"/>
        <v>F</v>
      </c>
      <c r="E23" s="5"/>
      <c r="F23" s="5">
        <v>6</v>
      </c>
      <c r="G23" s="5">
        <v>6</v>
      </c>
      <c r="H23" s="5">
        <v>3</v>
      </c>
      <c r="I23" s="5">
        <v>3</v>
      </c>
      <c r="J23" s="5"/>
      <c r="K23" s="5"/>
      <c r="L23" s="5"/>
      <c r="M23" s="5"/>
      <c r="N23" s="5"/>
      <c r="O23" s="5"/>
      <c r="P23" s="5"/>
      <c r="Q23" s="5"/>
      <c r="R23" s="5"/>
      <c r="S23" s="5">
        <f t="shared" si="1"/>
        <v>18</v>
      </c>
      <c r="T23" s="12"/>
    </row>
    <row r="24" spans="1:20" ht="15.5" x14ac:dyDescent="0.3">
      <c r="A24" s="12">
        <v>16</v>
      </c>
      <c r="B24" s="11" t="s">
        <v>54</v>
      </c>
      <c r="C24" s="5">
        <f t="shared" si="2"/>
        <v>40</v>
      </c>
      <c r="D24" s="5" t="str">
        <f t="shared" si="0"/>
        <v>E</v>
      </c>
      <c r="E24" s="5"/>
      <c r="F24" s="5">
        <v>5</v>
      </c>
      <c r="G24" s="5">
        <v>9</v>
      </c>
      <c r="H24" s="5">
        <v>10</v>
      </c>
      <c r="I24" s="5">
        <v>6</v>
      </c>
      <c r="J24" s="5"/>
      <c r="K24" s="5"/>
      <c r="L24" s="5"/>
      <c r="M24" s="5"/>
      <c r="N24" s="5"/>
      <c r="O24" s="5"/>
      <c r="P24" s="5"/>
      <c r="Q24" s="5"/>
      <c r="R24" s="5"/>
      <c r="S24" s="5">
        <f t="shared" si="1"/>
        <v>30</v>
      </c>
      <c r="T24" s="12">
        <v>10</v>
      </c>
    </row>
    <row r="25" spans="1:20" ht="15.5" x14ac:dyDescent="0.3">
      <c r="A25" s="12">
        <v>17</v>
      </c>
      <c r="B25" s="11" t="s">
        <v>55</v>
      </c>
      <c r="C25" s="5">
        <f t="shared" si="2"/>
        <v>68</v>
      </c>
      <c r="D25" s="5" t="str">
        <f t="shared" si="0"/>
        <v>B</v>
      </c>
      <c r="E25" s="5"/>
      <c r="F25" s="5">
        <v>12</v>
      </c>
      <c r="G25" s="5">
        <v>13</v>
      </c>
      <c r="H25" s="5">
        <v>12</v>
      </c>
      <c r="I25" s="5">
        <v>13</v>
      </c>
      <c r="J25" s="5"/>
      <c r="K25" s="5"/>
      <c r="L25" s="5"/>
      <c r="M25" s="5"/>
      <c r="N25" s="5"/>
      <c r="O25" s="5"/>
      <c r="P25" s="5"/>
      <c r="Q25" s="5"/>
      <c r="R25" s="5"/>
      <c r="S25" s="5">
        <f t="shared" si="1"/>
        <v>50</v>
      </c>
      <c r="T25" s="12">
        <v>18</v>
      </c>
    </row>
    <row r="26" spans="1:20" ht="15.5" x14ac:dyDescent="0.3">
      <c r="A26" s="12">
        <v>18</v>
      </c>
      <c r="B26" s="11" t="s">
        <v>56</v>
      </c>
      <c r="C26" s="5">
        <f t="shared" si="2"/>
        <v>26</v>
      </c>
      <c r="D26" s="5" t="str">
        <f t="shared" si="0"/>
        <v>F</v>
      </c>
      <c r="E26" s="5"/>
      <c r="F26" s="5">
        <v>6</v>
      </c>
      <c r="G26" s="5">
        <v>7</v>
      </c>
      <c r="H26" s="5">
        <v>7</v>
      </c>
      <c r="I26" s="5">
        <v>6</v>
      </c>
      <c r="J26" s="5"/>
      <c r="K26" s="5"/>
      <c r="L26" s="5"/>
      <c r="M26" s="5"/>
      <c r="N26" s="5"/>
      <c r="O26" s="5"/>
      <c r="P26" s="5"/>
      <c r="Q26" s="5"/>
      <c r="R26" s="5"/>
      <c r="S26" s="5">
        <f t="shared" si="1"/>
        <v>26</v>
      </c>
      <c r="T26" s="12"/>
    </row>
    <row r="27" spans="1:20" ht="15.5" x14ac:dyDescent="0.3">
      <c r="A27" s="12">
        <v>19</v>
      </c>
      <c r="B27" s="11" t="s">
        <v>57</v>
      </c>
      <c r="C27" s="5">
        <f t="shared" si="2"/>
        <v>40</v>
      </c>
      <c r="D27" s="5" t="str">
        <f t="shared" si="0"/>
        <v>E</v>
      </c>
      <c r="E27" s="5"/>
      <c r="F27" s="5">
        <v>5</v>
      </c>
      <c r="G27" s="5">
        <v>5</v>
      </c>
      <c r="H27" s="5">
        <v>5</v>
      </c>
      <c r="I27" s="5">
        <v>5</v>
      </c>
      <c r="J27" s="5"/>
      <c r="K27" s="5"/>
      <c r="L27" s="5"/>
      <c r="M27" s="5"/>
      <c r="N27" s="5"/>
      <c r="O27" s="5"/>
      <c r="P27" s="5"/>
      <c r="Q27" s="5"/>
      <c r="R27" s="5"/>
      <c r="S27" s="5">
        <f t="shared" si="1"/>
        <v>20</v>
      </c>
      <c r="T27" s="12">
        <v>20</v>
      </c>
    </row>
    <row r="28" spans="1:20" ht="15.5" x14ac:dyDescent="0.3">
      <c r="A28" s="12">
        <v>20</v>
      </c>
      <c r="B28" s="11" t="s">
        <v>58</v>
      </c>
      <c r="C28" s="5">
        <f t="shared" si="2"/>
        <v>40</v>
      </c>
      <c r="D28" s="5" t="str">
        <f t="shared" si="0"/>
        <v>E</v>
      </c>
      <c r="E28" s="5"/>
      <c r="F28" s="5">
        <v>7</v>
      </c>
      <c r="G28" s="5">
        <v>5</v>
      </c>
      <c r="H28" s="5">
        <v>5</v>
      </c>
      <c r="I28" s="5">
        <v>5</v>
      </c>
      <c r="J28" s="5"/>
      <c r="K28" s="5"/>
      <c r="L28" s="5"/>
      <c r="M28" s="5"/>
      <c r="N28" s="5"/>
      <c r="O28" s="5"/>
      <c r="P28" s="5"/>
      <c r="Q28" s="5"/>
      <c r="R28" s="5"/>
      <c r="S28" s="5">
        <f t="shared" si="1"/>
        <v>22</v>
      </c>
      <c r="T28" s="12">
        <v>18</v>
      </c>
    </row>
    <row r="29" spans="1:20" ht="15.5" x14ac:dyDescent="0.3">
      <c r="A29" s="12">
        <v>21</v>
      </c>
      <c r="B29" s="11" t="s">
        <v>59</v>
      </c>
      <c r="C29" s="5">
        <f t="shared" si="2"/>
        <v>56</v>
      </c>
      <c r="D29" s="5" t="str">
        <f t="shared" si="0"/>
        <v>C</v>
      </c>
      <c r="E29" s="5"/>
      <c r="F29" s="5">
        <v>14</v>
      </c>
      <c r="G29" s="5">
        <v>14</v>
      </c>
      <c r="H29" s="5">
        <v>10</v>
      </c>
      <c r="I29" s="5">
        <v>10</v>
      </c>
      <c r="J29" s="5"/>
      <c r="K29" s="5"/>
      <c r="L29" s="5"/>
      <c r="M29" s="5"/>
      <c r="N29" s="5"/>
      <c r="O29" s="5"/>
      <c r="P29" s="5"/>
      <c r="Q29" s="5"/>
      <c r="R29" s="5"/>
      <c r="S29" s="5">
        <f t="shared" si="1"/>
        <v>48</v>
      </c>
      <c r="T29" s="12">
        <v>8</v>
      </c>
    </row>
    <row r="30" spans="1:20" ht="15.5" x14ac:dyDescent="0.3">
      <c r="A30" s="12">
        <v>22</v>
      </c>
      <c r="B30" s="11" t="s">
        <v>60</v>
      </c>
      <c r="C30" s="5">
        <f t="shared" si="2"/>
        <v>51</v>
      </c>
      <c r="D30" s="5" t="str">
        <f t="shared" si="0"/>
        <v>C</v>
      </c>
      <c r="E30" s="5"/>
      <c r="F30" s="5">
        <v>8</v>
      </c>
      <c r="G30" s="5">
        <v>10</v>
      </c>
      <c r="H30" s="5">
        <v>10</v>
      </c>
      <c r="I30" s="5">
        <v>10</v>
      </c>
      <c r="J30" s="5"/>
      <c r="K30" s="5"/>
      <c r="L30" s="5"/>
      <c r="M30" s="5"/>
      <c r="N30" s="5"/>
      <c r="O30" s="5"/>
      <c r="P30" s="5"/>
      <c r="Q30" s="5"/>
      <c r="R30" s="5"/>
      <c r="S30" s="5">
        <f t="shared" si="1"/>
        <v>38</v>
      </c>
      <c r="T30" s="12">
        <v>13</v>
      </c>
    </row>
    <row r="31" spans="1:20" ht="15.5" x14ac:dyDescent="0.3">
      <c r="A31" s="12">
        <v>23</v>
      </c>
      <c r="B31" s="11" t="s">
        <v>61</v>
      </c>
      <c r="C31" s="5">
        <f t="shared" si="2"/>
        <v>57</v>
      </c>
      <c r="D31" s="5" t="str">
        <f t="shared" si="0"/>
        <v>C</v>
      </c>
      <c r="E31" s="5"/>
      <c r="F31" s="5">
        <v>12</v>
      </c>
      <c r="G31" s="5">
        <v>10</v>
      </c>
      <c r="H31" s="5">
        <v>10</v>
      </c>
      <c r="I31" s="5">
        <v>10</v>
      </c>
      <c r="J31" s="5"/>
      <c r="K31" s="5"/>
      <c r="L31" s="5"/>
      <c r="M31" s="5"/>
      <c r="N31" s="5"/>
      <c r="O31" s="5"/>
      <c r="P31" s="5"/>
      <c r="Q31" s="5"/>
      <c r="R31" s="5"/>
      <c r="S31" s="5">
        <f t="shared" si="1"/>
        <v>42</v>
      </c>
      <c r="T31" s="12">
        <v>15</v>
      </c>
    </row>
    <row r="32" spans="1:20" ht="15.5" x14ac:dyDescent="0.3">
      <c r="A32" s="12">
        <v>24</v>
      </c>
      <c r="B32" s="11" t="s">
        <v>62</v>
      </c>
      <c r="C32" s="5">
        <f t="shared" si="2"/>
        <v>8</v>
      </c>
      <c r="D32" s="5" t="str">
        <f t="shared" si="0"/>
        <v>F</v>
      </c>
      <c r="E32" s="5"/>
      <c r="F32" s="5">
        <v>2</v>
      </c>
      <c r="G32" s="5">
        <v>2</v>
      </c>
      <c r="H32" s="5">
        <v>2</v>
      </c>
      <c r="I32" s="5">
        <v>2</v>
      </c>
      <c r="J32" s="5"/>
      <c r="K32" s="5"/>
      <c r="L32" s="5"/>
      <c r="M32" s="5"/>
      <c r="N32" s="5"/>
      <c r="O32" s="5"/>
      <c r="P32" s="5"/>
      <c r="Q32" s="5"/>
      <c r="R32" s="5"/>
      <c r="S32" s="5">
        <f t="shared" si="1"/>
        <v>8</v>
      </c>
      <c r="T32" s="12"/>
    </row>
    <row r="33" spans="1:20" ht="15.5" x14ac:dyDescent="0.3">
      <c r="A33" s="12">
        <v>25</v>
      </c>
      <c r="B33" s="11" t="s">
        <v>63</v>
      </c>
      <c r="C33" s="5">
        <f t="shared" si="2"/>
        <v>46</v>
      </c>
      <c r="D33" s="5" t="str">
        <f t="shared" si="0"/>
        <v>D</v>
      </c>
      <c r="E33" s="5"/>
      <c r="F33" s="5">
        <v>10</v>
      </c>
      <c r="G33" s="5">
        <v>4</v>
      </c>
      <c r="H33" s="5">
        <v>10</v>
      </c>
      <c r="I33" s="5">
        <v>10</v>
      </c>
      <c r="J33" s="5"/>
      <c r="K33" s="5"/>
      <c r="L33" s="5"/>
      <c r="M33" s="5"/>
      <c r="N33" s="5"/>
      <c r="O33" s="5"/>
      <c r="P33" s="5"/>
      <c r="Q33" s="5"/>
      <c r="R33" s="5"/>
      <c r="S33" s="5">
        <f t="shared" si="1"/>
        <v>34</v>
      </c>
      <c r="T33" s="12">
        <v>12</v>
      </c>
    </row>
    <row r="34" spans="1:20" ht="15.5" x14ac:dyDescent="0.3">
      <c r="A34" s="12">
        <v>26</v>
      </c>
      <c r="B34" s="11" t="s">
        <v>64</v>
      </c>
      <c r="C34" s="5">
        <f t="shared" si="2"/>
        <v>40</v>
      </c>
      <c r="D34" s="5" t="str">
        <f t="shared" si="0"/>
        <v>E</v>
      </c>
      <c r="E34" s="5"/>
      <c r="F34" s="5">
        <v>7</v>
      </c>
      <c r="G34" s="5">
        <v>7</v>
      </c>
      <c r="H34" s="5">
        <v>7</v>
      </c>
      <c r="I34" s="5">
        <v>7</v>
      </c>
      <c r="J34" s="5"/>
      <c r="K34" s="5"/>
      <c r="L34" s="5"/>
      <c r="M34" s="5"/>
      <c r="N34" s="5"/>
      <c r="O34" s="5"/>
      <c r="P34" s="5"/>
      <c r="Q34" s="5"/>
      <c r="R34" s="5"/>
      <c r="S34" s="5">
        <f t="shared" si="1"/>
        <v>28</v>
      </c>
      <c r="T34" s="12">
        <v>12</v>
      </c>
    </row>
    <row r="35" spans="1:20" ht="15.5" x14ac:dyDescent="0.3">
      <c r="A35" s="12">
        <v>27</v>
      </c>
      <c r="B35" s="11" t="s">
        <v>65</v>
      </c>
      <c r="C35" s="5">
        <f t="shared" si="2"/>
        <v>25</v>
      </c>
      <c r="D35" s="5" t="str">
        <f t="shared" si="0"/>
        <v>F</v>
      </c>
      <c r="E35" s="5"/>
      <c r="F35" s="5">
        <v>4</v>
      </c>
      <c r="G35" s="5">
        <v>5</v>
      </c>
      <c r="H35" s="5">
        <v>4</v>
      </c>
      <c r="I35" s="5">
        <v>4</v>
      </c>
      <c r="J35" s="5"/>
      <c r="K35" s="5"/>
      <c r="L35" s="5"/>
      <c r="M35" s="5"/>
      <c r="N35" s="5"/>
      <c r="O35" s="5"/>
      <c r="P35" s="5"/>
      <c r="Q35" s="5"/>
      <c r="R35" s="5"/>
      <c r="S35" s="5">
        <f t="shared" si="1"/>
        <v>17</v>
      </c>
      <c r="T35" s="12">
        <v>8</v>
      </c>
    </row>
    <row r="36" spans="1:20" ht="15.5" x14ac:dyDescent="0.3">
      <c r="A36" s="12">
        <v>28</v>
      </c>
      <c r="B36" s="11" t="s">
        <v>66</v>
      </c>
      <c r="C36" s="5">
        <f t="shared" si="2"/>
        <v>61</v>
      </c>
      <c r="D36" s="5" t="str">
        <f t="shared" si="0"/>
        <v>B</v>
      </c>
      <c r="E36" s="5"/>
      <c r="F36" s="5">
        <v>12</v>
      </c>
      <c r="G36" s="5">
        <v>12</v>
      </c>
      <c r="H36" s="5">
        <v>12</v>
      </c>
      <c r="I36" s="5">
        <v>12</v>
      </c>
      <c r="J36" s="5"/>
      <c r="K36" s="5"/>
      <c r="L36" s="5"/>
      <c r="M36" s="5"/>
      <c r="N36" s="5"/>
      <c r="O36" s="5"/>
      <c r="P36" s="5"/>
      <c r="Q36" s="5"/>
      <c r="R36" s="5"/>
      <c r="S36" s="5">
        <f t="shared" si="1"/>
        <v>48</v>
      </c>
      <c r="T36" s="12">
        <v>13</v>
      </c>
    </row>
    <row r="37" spans="1:20" ht="15.5" x14ac:dyDescent="0.3">
      <c r="A37" s="12">
        <v>29</v>
      </c>
      <c r="B37" s="11" t="s">
        <v>67</v>
      </c>
      <c r="C37" s="5">
        <f t="shared" si="2"/>
        <v>76</v>
      </c>
      <c r="D37" s="5" t="str">
        <f t="shared" si="0"/>
        <v>A</v>
      </c>
      <c r="E37" s="5"/>
      <c r="F37" s="5">
        <v>18</v>
      </c>
      <c r="G37" s="5">
        <v>12</v>
      </c>
      <c r="H37" s="5">
        <v>14</v>
      </c>
      <c r="I37" s="5">
        <v>14</v>
      </c>
      <c r="J37" s="5"/>
      <c r="K37" s="5"/>
      <c r="L37" s="5"/>
      <c r="M37" s="5"/>
      <c r="N37" s="5"/>
      <c r="O37" s="5"/>
      <c r="P37" s="5"/>
      <c r="Q37" s="5"/>
      <c r="R37" s="5"/>
      <c r="S37" s="5">
        <f t="shared" si="1"/>
        <v>58</v>
      </c>
      <c r="T37" s="12">
        <v>18</v>
      </c>
    </row>
    <row r="38" spans="1:20" ht="15.5" x14ac:dyDescent="0.3">
      <c r="A38" s="12">
        <v>30</v>
      </c>
      <c r="B38" s="11" t="s">
        <v>68</v>
      </c>
      <c r="C38" s="5">
        <f t="shared" si="2"/>
        <v>40</v>
      </c>
      <c r="D38" s="5" t="str">
        <f t="shared" si="0"/>
        <v>E</v>
      </c>
      <c r="E38" s="5"/>
      <c r="F38" s="5">
        <v>5</v>
      </c>
      <c r="G38" s="5">
        <v>7</v>
      </c>
      <c r="H38" s="5">
        <v>5</v>
      </c>
      <c r="I38" s="5">
        <v>7</v>
      </c>
      <c r="J38" s="5"/>
      <c r="K38" s="5"/>
      <c r="L38" s="5"/>
      <c r="M38" s="5"/>
      <c r="N38" s="5"/>
      <c r="O38" s="5"/>
      <c r="P38" s="5"/>
      <c r="Q38" s="5"/>
      <c r="R38" s="5"/>
      <c r="S38" s="5">
        <f t="shared" si="1"/>
        <v>24</v>
      </c>
      <c r="T38" s="12">
        <v>16</v>
      </c>
    </row>
    <row r="39" spans="1:20" ht="15.5" x14ac:dyDescent="0.3">
      <c r="A39" s="12">
        <v>31</v>
      </c>
      <c r="B39" s="11" t="s">
        <v>69</v>
      </c>
      <c r="C39" s="5">
        <f t="shared" si="2"/>
        <v>40</v>
      </c>
      <c r="D39" s="5" t="str">
        <f t="shared" si="0"/>
        <v>E</v>
      </c>
      <c r="E39" s="5"/>
      <c r="F39" s="5">
        <v>7</v>
      </c>
      <c r="G39" s="5">
        <v>7</v>
      </c>
      <c r="H39" s="5">
        <v>7</v>
      </c>
      <c r="I39" s="5">
        <v>7</v>
      </c>
      <c r="J39" s="5"/>
      <c r="K39" s="5"/>
      <c r="L39" s="5"/>
      <c r="M39" s="5"/>
      <c r="N39" s="5"/>
      <c r="O39" s="5"/>
      <c r="P39" s="5"/>
      <c r="Q39" s="5"/>
      <c r="R39" s="5"/>
      <c r="S39" s="5">
        <f t="shared" si="1"/>
        <v>28</v>
      </c>
      <c r="T39" s="12">
        <v>12</v>
      </c>
    </row>
    <row r="40" spans="1:20" ht="15.5" x14ac:dyDescent="0.3">
      <c r="A40" s="12">
        <v>32</v>
      </c>
      <c r="B40" s="11" t="s">
        <v>70</v>
      </c>
      <c r="C40" s="5">
        <f t="shared" si="2"/>
        <v>23</v>
      </c>
      <c r="D40" s="5" t="str">
        <f t="shared" si="0"/>
        <v>F</v>
      </c>
      <c r="E40" s="5"/>
      <c r="F40" s="5">
        <v>4</v>
      </c>
      <c r="G40" s="5">
        <v>4</v>
      </c>
      <c r="H40" s="5">
        <v>4</v>
      </c>
      <c r="I40" s="5">
        <v>4</v>
      </c>
      <c r="J40" s="5"/>
      <c r="K40" s="5"/>
      <c r="L40" s="5"/>
      <c r="M40" s="5"/>
      <c r="N40" s="5"/>
      <c r="O40" s="5"/>
      <c r="P40" s="5"/>
      <c r="Q40" s="5"/>
      <c r="R40" s="5"/>
      <c r="S40" s="5">
        <f t="shared" si="1"/>
        <v>16</v>
      </c>
      <c r="T40" s="12">
        <v>7</v>
      </c>
    </row>
    <row r="41" spans="1:20" ht="15.5" x14ac:dyDescent="0.3">
      <c r="A41" s="12">
        <v>33</v>
      </c>
      <c r="B41" s="11" t="s">
        <v>71</v>
      </c>
      <c r="C41" s="5">
        <f t="shared" si="2"/>
        <v>40</v>
      </c>
      <c r="D41" s="5" t="str">
        <f t="shared" si="0"/>
        <v>E</v>
      </c>
      <c r="E41" s="5"/>
      <c r="F41" s="5">
        <v>7</v>
      </c>
      <c r="G41" s="5">
        <v>7</v>
      </c>
      <c r="H41" s="5">
        <v>7</v>
      </c>
      <c r="I41" s="5">
        <v>7</v>
      </c>
      <c r="J41" s="5"/>
      <c r="K41" s="5"/>
      <c r="L41" s="5"/>
      <c r="M41" s="5"/>
      <c r="N41" s="5"/>
      <c r="O41" s="5"/>
      <c r="P41" s="5"/>
      <c r="Q41" s="5"/>
      <c r="R41" s="5"/>
      <c r="S41" s="5">
        <f t="shared" si="1"/>
        <v>28</v>
      </c>
      <c r="T41" s="12">
        <v>12</v>
      </c>
    </row>
    <row r="42" spans="1:20" ht="15.5" x14ac:dyDescent="0.3">
      <c r="A42" s="12">
        <v>34</v>
      </c>
      <c r="B42" s="11" t="s">
        <v>72</v>
      </c>
      <c r="C42" s="5">
        <f t="shared" si="2"/>
        <v>19</v>
      </c>
      <c r="D42" s="5" t="str">
        <f t="shared" si="0"/>
        <v>F</v>
      </c>
      <c r="E42" s="5"/>
      <c r="F42" s="5">
        <v>3</v>
      </c>
      <c r="G42" s="5">
        <v>3</v>
      </c>
      <c r="H42" s="5">
        <v>3</v>
      </c>
      <c r="I42" s="5">
        <v>3</v>
      </c>
      <c r="J42" s="5"/>
      <c r="K42" s="5"/>
      <c r="L42" s="5"/>
      <c r="M42" s="5"/>
      <c r="N42" s="5"/>
      <c r="O42" s="5"/>
      <c r="P42" s="5"/>
      <c r="Q42" s="5"/>
      <c r="R42" s="5"/>
      <c r="S42" s="5">
        <f t="shared" si="1"/>
        <v>12</v>
      </c>
      <c r="T42" s="12">
        <v>7</v>
      </c>
    </row>
    <row r="43" spans="1:20" ht="15.5" x14ac:dyDescent="0.3">
      <c r="A43" s="12">
        <v>35</v>
      </c>
      <c r="B43" s="11" t="s">
        <v>73</v>
      </c>
      <c r="C43" s="5">
        <f t="shared" si="2"/>
        <v>50</v>
      </c>
      <c r="D43" s="5" t="str">
        <f t="shared" si="0"/>
        <v>C</v>
      </c>
      <c r="E43" s="5"/>
      <c r="F43" s="5">
        <v>10</v>
      </c>
      <c r="G43" s="5">
        <v>10</v>
      </c>
      <c r="H43" s="5">
        <v>8</v>
      </c>
      <c r="I43" s="5">
        <v>10</v>
      </c>
      <c r="J43" s="5"/>
      <c r="K43" s="5"/>
      <c r="L43" s="5"/>
      <c r="M43" s="5"/>
      <c r="N43" s="5"/>
      <c r="O43" s="5"/>
      <c r="P43" s="5"/>
      <c r="Q43" s="5"/>
      <c r="R43" s="5"/>
      <c r="S43" s="5">
        <f t="shared" si="1"/>
        <v>38</v>
      </c>
      <c r="T43" s="12">
        <v>12</v>
      </c>
    </row>
    <row r="44" spans="1:20" ht="15.5" x14ac:dyDescent="0.3">
      <c r="A44" s="12">
        <v>36</v>
      </c>
      <c r="B44" s="11" t="s">
        <v>74</v>
      </c>
      <c r="C44" s="5">
        <f t="shared" si="2"/>
        <v>47</v>
      </c>
      <c r="D44" s="5" t="str">
        <f t="shared" si="0"/>
        <v>D</v>
      </c>
      <c r="E44" s="5"/>
      <c r="F44" s="5">
        <v>8</v>
      </c>
      <c r="G44" s="5">
        <v>9</v>
      </c>
      <c r="H44" s="5">
        <v>10</v>
      </c>
      <c r="I44" s="5">
        <v>6</v>
      </c>
      <c r="J44" s="5"/>
      <c r="K44" s="5"/>
      <c r="L44" s="5"/>
      <c r="M44" s="5"/>
      <c r="N44" s="5"/>
      <c r="O44" s="5"/>
      <c r="P44" s="5"/>
      <c r="Q44" s="5"/>
      <c r="R44" s="5"/>
      <c r="S44" s="5">
        <f t="shared" si="1"/>
        <v>33</v>
      </c>
      <c r="T44" s="12">
        <v>14</v>
      </c>
    </row>
    <row r="45" spans="1:20" ht="15.5" x14ac:dyDescent="0.3">
      <c r="A45" s="12">
        <v>37</v>
      </c>
      <c r="B45" s="11" t="s">
        <v>75</v>
      </c>
      <c r="C45" s="5">
        <f t="shared" si="2"/>
        <v>40</v>
      </c>
      <c r="D45" s="5" t="str">
        <f t="shared" si="0"/>
        <v>E</v>
      </c>
      <c r="E45" s="5"/>
      <c r="F45" s="5">
        <v>5</v>
      </c>
      <c r="G45" s="5">
        <v>10</v>
      </c>
      <c r="H45" s="5">
        <v>7</v>
      </c>
      <c r="I45" s="5">
        <v>3</v>
      </c>
      <c r="J45" s="5"/>
      <c r="K45" s="5"/>
      <c r="L45" s="5"/>
      <c r="M45" s="5"/>
      <c r="N45" s="5"/>
      <c r="O45" s="5"/>
      <c r="P45" s="5"/>
      <c r="Q45" s="5"/>
      <c r="R45" s="5"/>
      <c r="S45" s="5">
        <f t="shared" si="1"/>
        <v>25</v>
      </c>
      <c r="T45" s="12">
        <v>15</v>
      </c>
    </row>
    <row r="46" spans="1:20" ht="15.5" x14ac:dyDescent="0.3">
      <c r="A46" s="12">
        <v>38</v>
      </c>
      <c r="B46" s="11" t="s">
        <v>76</v>
      </c>
      <c r="C46" s="5">
        <f t="shared" si="2"/>
        <v>40</v>
      </c>
      <c r="D46" s="5" t="str">
        <f t="shared" si="0"/>
        <v>E</v>
      </c>
      <c r="E46" s="5"/>
      <c r="F46" s="5">
        <v>6</v>
      </c>
      <c r="G46" s="5">
        <v>6</v>
      </c>
      <c r="H46" s="5">
        <v>6</v>
      </c>
      <c r="I46" s="5">
        <v>8</v>
      </c>
      <c r="J46" s="5"/>
      <c r="K46" s="5"/>
      <c r="L46" s="5"/>
      <c r="M46" s="5"/>
      <c r="N46" s="5"/>
      <c r="O46" s="5"/>
      <c r="P46" s="5"/>
      <c r="Q46" s="5"/>
      <c r="R46" s="5"/>
      <c r="S46" s="5">
        <f t="shared" si="1"/>
        <v>26</v>
      </c>
      <c r="T46" s="12">
        <v>14</v>
      </c>
    </row>
    <row r="47" spans="1:20" ht="15.5" x14ac:dyDescent="0.3">
      <c r="A47" s="12">
        <v>39</v>
      </c>
      <c r="B47" s="11" t="s">
        <v>77</v>
      </c>
      <c r="C47" s="5">
        <f t="shared" si="2"/>
        <v>61</v>
      </c>
      <c r="D47" s="5" t="str">
        <f t="shared" si="0"/>
        <v>B</v>
      </c>
      <c r="E47" s="5"/>
      <c r="F47" s="5">
        <v>12</v>
      </c>
      <c r="G47" s="5">
        <v>12</v>
      </c>
      <c r="H47" s="5">
        <v>10</v>
      </c>
      <c r="I47" s="5">
        <v>10</v>
      </c>
      <c r="J47" s="5"/>
      <c r="K47" s="5"/>
      <c r="L47" s="5"/>
      <c r="M47" s="5"/>
      <c r="N47" s="5"/>
      <c r="O47" s="5"/>
      <c r="P47" s="5"/>
      <c r="Q47" s="5"/>
      <c r="R47" s="5"/>
      <c r="S47" s="5">
        <f t="shared" si="1"/>
        <v>44</v>
      </c>
      <c r="T47" s="12">
        <v>17</v>
      </c>
    </row>
    <row r="48" spans="1:20" ht="15.5" x14ac:dyDescent="0.3">
      <c r="A48" s="12">
        <v>40</v>
      </c>
      <c r="B48" s="11" t="s">
        <v>78</v>
      </c>
      <c r="C48" s="5">
        <f t="shared" si="2"/>
        <v>24</v>
      </c>
      <c r="D48" s="5" t="str">
        <f t="shared" si="0"/>
        <v>F</v>
      </c>
      <c r="E48" s="5"/>
      <c r="F48" s="5">
        <v>6</v>
      </c>
      <c r="G48" s="5">
        <v>6</v>
      </c>
      <c r="H48" s="5">
        <v>6</v>
      </c>
      <c r="I48" s="5">
        <v>6</v>
      </c>
      <c r="J48" s="5"/>
      <c r="K48" s="5"/>
      <c r="L48" s="5"/>
      <c r="M48" s="5"/>
      <c r="N48" s="5"/>
      <c r="O48" s="5"/>
      <c r="P48" s="5"/>
      <c r="Q48" s="5"/>
      <c r="R48" s="5"/>
      <c r="S48" s="5">
        <f t="shared" si="1"/>
        <v>24</v>
      </c>
      <c r="T48" s="12"/>
    </row>
    <row r="49" spans="1:20" ht="15.5" x14ac:dyDescent="0.3">
      <c r="A49" s="12">
        <v>41</v>
      </c>
      <c r="B49" s="11" t="s">
        <v>79</v>
      </c>
      <c r="C49" s="5">
        <f t="shared" si="2"/>
        <v>48</v>
      </c>
      <c r="D49" s="5" t="str">
        <f t="shared" si="0"/>
        <v>D</v>
      </c>
      <c r="E49" s="5"/>
      <c r="F49" s="5">
        <v>10</v>
      </c>
      <c r="G49" s="5">
        <v>10</v>
      </c>
      <c r="H49" s="5">
        <v>10</v>
      </c>
      <c r="I49" s="5">
        <v>10</v>
      </c>
      <c r="J49" s="5"/>
      <c r="K49" s="5"/>
      <c r="L49" s="5"/>
      <c r="M49" s="5"/>
      <c r="N49" s="5"/>
      <c r="O49" s="5"/>
      <c r="P49" s="5"/>
      <c r="Q49" s="5"/>
      <c r="R49" s="5"/>
      <c r="S49" s="5">
        <f t="shared" si="1"/>
        <v>40</v>
      </c>
      <c r="T49" s="12">
        <v>8</v>
      </c>
    </row>
    <row r="50" spans="1:20" ht="15.5" x14ac:dyDescent="0.3">
      <c r="A50" s="12">
        <v>42</v>
      </c>
      <c r="B50" s="11" t="s">
        <v>80</v>
      </c>
      <c r="C50" s="5">
        <f t="shared" si="2"/>
        <v>40</v>
      </c>
      <c r="D50" s="5" t="str">
        <f t="shared" si="0"/>
        <v>E</v>
      </c>
      <c r="E50" s="5"/>
      <c r="F50" s="5">
        <v>7</v>
      </c>
      <c r="G50" s="5">
        <v>5</v>
      </c>
      <c r="H50" s="5">
        <v>5</v>
      </c>
      <c r="I50" s="5">
        <v>5</v>
      </c>
      <c r="J50" s="5"/>
      <c r="K50" s="5"/>
      <c r="L50" s="5"/>
      <c r="M50" s="5"/>
      <c r="N50" s="5"/>
      <c r="O50" s="5"/>
      <c r="P50" s="5"/>
      <c r="Q50" s="5"/>
      <c r="R50" s="5"/>
      <c r="S50" s="5">
        <f t="shared" si="1"/>
        <v>22</v>
      </c>
      <c r="T50" s="12">
        <v>18</v>
      </c>
    </row>
    <row r="51" spans="1:20" ht="15.5" x14ac:dyDescent="0.3">
      <c r="A51" s="12">
        <v>43</v>
      </c>
      <c r="B51" s="11" t="s">
        <v>81</v>
      </c>
      <c r="C51" s="5">
        <f t="shared" si="2"/>
        <v>67</v>
      </c>
      <c r="D51" s="5" t="str">
        <f t="shared" si="0"/>
        <v>B</v>
      </c>
      <c r="E51" s="5"/>
      <c r="F51" s="5">
        <v>14</v>
      </c>
      <c r="G51" s="5">
        <v>15</v>
      </c>
      <c r="H51" s="5">
        <v>10</v>
      </c>
      <c r="I51" s="5">
        <v>15</v>
      </c>
      <c r="J51" s="5"/>
      <c r="K51" s="5"/>
      <c r="L51" s="5"/>
      <c r="M51" s="5"/>
      <c r="N51" s="5"/>
      <c r="O51" s="5"/>
      <c r="P51" s="5"/>
      <c r="Q51" s="5"/>
      <c r="R51" s="5"/>
      <c r="S51" s="5">
        <f t="shared" si="1"/>
        <v>54</v>
      </c>
      <c r="T51" s="12">
        <v>13</v>
      </c>
    </row>
    <row r="52" spans="1:20" ht="15.5" x14ac:dyDescent="0.3">
      <c r="A52" s="12">
        <v>44</v>
      </c>
      <c r="B52" s="11" t="s">
        <v>82</v>
      </c>
      <c r="C52" s="5">
        <f t="shared" si="2"/>
        <v>40</v>
      </c>
      <c r="D52" s="5" t="str">
        <f t="shared" si="0"/>
        <v>E</v>
      </c>
      <c r="E52" s="5"/>
      <c r="F52" s="5">
        <v>7</v>
      </c>
      <c r="G52" s="5">
        <v>5</v>
      </c>
      <c r="H52" s="5">
        <v>5</v>
      </c>
      <c r="I52" s="5">
        <v>5</v>
      </c>
      <c r="J52" s="5"/>
      <c r="K52" s="5"/>
      <c r="L52" s="5"/>
      <c r="M52" s="5"/>
      <c r="N52" s="5"/>
      <c r="O52" s="5"/>
      <c r="P52" s="5"/>
      <c r="Q52" s="5"/>
      <c r="R52" s="5"/>
      <c r="S52" s="5">
        <f t="shared" si="1"/>
        <v>22</v>
      </c>
      <c r="T52" s="12">
        <v>18</v>
      </c>
    </row>
    <row r="53" spans="1:20" ht="15.5" x14ac:dyDescent="0.3">
      <c r="A53" s="12">
        <v>45</v>
      </c>
      <c r="B53" s="11" t="s">
        <v>83</v>
      </c>
      <c r="C53" s="5">
        <f t="shared" si="2"/>
        <v>40</v>
      </c>
      <c r="D53" s="5" t="str">
        <f t="shared" si="0"/>
        <v>E</v>
      </c>
      <c r="E53" s="5"/>
      <c r="F53" s="5">
        <v>5</v>
      </c>
      <c r="G53" s="5">
        <v>7</v>
      </c>
      <c r="H53" s="5">
        <v>4</v>
      </c>
      <c r="I53" s="5">
        <v>5</v>
      </c>
      <c r="J53" s="5"/>
      <c r="K53" s="5"/>
      <c r="L53" s="5"/>
      <c r="M53" s="5"/>
      <c r="N53" s="5"/>
      <c r="O53" s="5"/>
      <c r="P53" s="5"/>
      <c r="Q53" s="5"/>
      <c r="R53" s="5"/>
      <c r="S53" s="5">
        <f t="shared" si="1"/>
        <v>21</v>
      </c>
      <c r="T53" s="12">
        <v>19</v>
      </c>
    </row>
    <row r="54" spans="1:20" ht="15.5" x14ac:dyDescent="0.3">
      <c r="A54" s="12">
        <v>46</v>
      </c>
      <c r="B54" s="11" t="s">
        <v>84</v>
      </c>
      <c r="C54" s="5">
        <f>IF(TRIM($B54)&lt;&gt; "",$S54+$T54+$L54+$N54-$M54,"")</f>
        <v>18</v>
      </c>
      <c r="D54" s="5" t="str">
        <f t="shared" si="0"/>
        <v>F</v>
      </c>
      <c r="E54" s="5"/>
      <c r="F54" s="5">
        <v>5</v>
      </c>
      <c r="G54" s="5">
        <v>4</v>
      </c>
      <c r="H54" s="5">
        <v>5</v>
      </c>
      <c r="I54" s="5">
        <v>4</v>
      </c>
      <c r="J54" s="5"/>
      <c r="K54" s="5"/>
      <c r="L54" s="5"/>
      <c r="M54" s="5"/>
      <c r="N54" s="5"/>
      <c r="O54" s="5"/>
      <c r="P54" s="5"/>
      <c r="Q54" s="5"/>
      <c r="R54" s="5"/>
      <c r="S54" s="5">
        <f t="shared" si="1"/>
        <v>18</v>
      </c>
      <c r="T54" s="12"/>
    </row>
    <row r="55" spans="1:20" ht="15.5" x14ac:dyDescent="0.3">
      <c r="A55" s="12">
        <v>47</v>
      </c>
      <c r="B55" s="11" t="s">
        <v>85</v>
      </c>
      <c r="C55" s="5">
        <f t="shared" si="2"/>
        <v>40</v>
      </c>
      <c r="D55" s="5" t="str">
        <f t="shared" si="0"/>
        <v>E</v>
      </c>
      <c r="E55" s="5"/>
      <c r="F55" s="5">
        <v>5</v>
      </c>
      <c r="G55" s="5">
        <v>8</v>
      </c>
      <c r="H55" s="5">
        <v>9</v>
      </c>
      <c r="I55" s="5">
        <v>8</v>
      </c>
      <c r="J55" s="5"/>
      <c r="K55" s="5"/>
      <c r="L55" s="5"/>
      <c r="M55" s="5"/>
      <c r="N55" s="5"/>
      <c r="O55" s="5"/>
      <c r="P55" s="5"/>
      <c r="Q55" s="5"/>
      <c r="R55" s="5"/>
      <c r="S55" s="5">
        <f t="shared" si="1"/>
        <v>30</v>
      </c>
      <c r="T55" s="12">
        <v>10</v>
      </c>
    </row>
    <row r="56" spans="1:20" ht="15.5" x14ac:dyDescent="0.3">
      <c r="A56" s="12">
        <v>48</v>
      </c>
      <c r="B56" s="11" t="s">
        <v>86</v>
      </c>
      <c r="C56" s="5">
        <f t="shared" si="2"/>
        <v>53</v>
      </c>
      <c r="D56" s="5" t="str">
        <f t="shared" si="0"/>
        <v>C</v>
      </c>
      <c r="E56" s="5"/>
      <c r="F56" s="5">
        <v>10</v>
      </c>
      <c r="G56" s="5">
        <v>5</v>
      </c>
      <c r="H56" s="5">
        <v>10</v>
      </c>
      <c r="I56" s="5">
        <v>10</v>
      </c>
      <c r="J56" s="5"/>
      <c r="K56" s="5"/>
      <c r="L56" s="5"/>
      <c r="M56" s="5"/>
      <c r="N56" s="5"/>
      <c r="O56" s="5"/>
      <c r="P56" s="5"/>
      <c r="Q56" s="5"/>
      <c r="R56" s="5"/>
      <c r="S56" s="5">
        <f t="shared" si="1"/>
        <v>35</v>
      </c>
      <c r="T56" s="12">
        <v>18</v>
      </c>
    </row>
    <row r="57" spans="1:20" ht="15.5" x14ac:dyDescent="0.3">
      <c r="A57" s="12">
        <v>49</v>
      </c>
      <c r="B57" s="11" t="s">
        <v>87</v>
      </c>
      <c r="C57" s="5">
        <f t="shared" si="2"/>
        <v>40</v>
      </c>
      <c r="D57" s="5" t="str">
        <f t="shared" si="0"/>
        <v>E</v>
      </c>
      <c r="E57" s="5"/>
      <c r="F57" s="5">
        <v>6</v>
      </c>
      <c r="G57" s="5">
        <v>8</v>
      </c>
      <c r="H57" s="5">
        <v>7</v>
      </c>
      <c r="I57" s="5">
        <v>5</v>
      </c>
      <c r="J57" s="5"/>
      <c r="K57" s="5"/>
      <c r="L57" s="5"/>
      <c r="M57" s="5"/>
      <c r="N57" s="5"/>
      <c r="O57" s="5"/>
      <c r="P57" s="5"/>
      <c r="Q57" s="5"/>
      <c r="R57" s="5"/>
      <c r="S57" s="5">
        <f t="shared" si="1"/>
        <v>26</v>
      </c>
      <c r="T57" s="12">
        <v>14</v>
      </c>
    </row>
    <row r="58" spans="1:20" ht="15.5" x14ac:dyDescent="0.3">
      <c r="A58" s="12">
        <v>50</v>
      </c>
      <c r="B58" s="11" t="s">
        <v>88</v>
      </c>
      <c r="C58" s="5">
        <f t="shared" si="2"/>
        <v>56</v>
      </c>
      <c r="D58" s="5" t="str">
        <f t="shared" si="0"/>
        <v>C</v>
      </c>
      <c r="E58" s="5"/>
      <c r="F58" s="5">
        <v>16</v>
      </c>
      <c r="G58" s="5">
        <v>10</v>
      </c>
      <c r="H58" s="5">
        <v>10</v>
      </c>
      <c r="I58" s="5">
        <v>10</v>
      </c>
      <c r="J58" s="5"/>
      <c r="K58" s="5"/>
      <c r="L58" s="5"/>
      <c r="M58" s="5"/>
      <c r="N58" s="5"/>
      <c r="O58" s="5"/>
      <c r="P58" s="5"/>
      <c r="Q58" s="5"/>
      <c r="R58" s="5"/>
      <c r="S58" s="5">
        <f t="shared" si="1"/>
        <v>46</v>
      </c>
      <c r="T58" s="12">
        <v>10</v>
      </c>
    </row>
    <row r="59" spans="1:20" ht="15.5" x14ac:dyDescent="0.3">
      <c r="A59" s="12">
        <v>51</v>
      </c>
      <c r="B59" s="11" t="s">
        <v>89</v>
      </c>
      <c r="C59" s="5">
        <f t="shared" si="2"/>
        <v>54</v>
      </c>
      <c r="D59" s="5" t="str">
        <f t="shared" si="0"/>
        <v>C</v>
      </c>
      <c r="E59" s="5"/>
      <c r="F59" s="5">
        <v>14</v>
      </c>
      <c r="G59" s="5">
        <v>10</v>
      </c>
      <c r="H59" s="5">
        <v>10</v>
      </c>
      <c r="I59" s="5">
        <v>10</v>
      </c>
      <c r="J59" s="5"/>
      <c r="K59" s="5"/>
      <c r="L59" s="5"/>
      <c r="M59" s="5"/>
      <c r="N59" s="5"/>
      <c r="O59" s="5"/>
      <c r="P59" s="5"/>
      <c r="Q59" s="5"/>
      <c r="R59" s="5"/>
      <c r="S59" s="5">
        <f t="shared" si="1"/>
        <v>44</v>
      </c>
      <c r="T59" s="12">
        <v>10</v>
      </c>
    </row>
    <row r="60" spans="1:20" ht="15.5" x14ac:dyDescent="0.3">
      <c r="A60" s="12">
        <v>52</v>
      </c>
      <c r="B60" s="11" t="s">
        <v>90</v>
      </c>
      <c r="C60" s="5">
        <f t="shared" si="2"/>
        <v>21</v>
      </c>
      <c r="D60" s="5" t="str">
        <f t="shared" si="0"/>
        <v>F</v>
      </c>
      <c r="E60" s="5"/>
      <c r="F60" s="5">
        <v>5</v>
      </c>
      <c r="G60" s="5">
        <v>5</v>
      </c>
      <c r="H60" s="5">
        <v>5</v>
      </c>
      <c r="I60" s="5">
        <v>5</v>
      </c>
      <c r="J60" s="5"/>
      <c r="K60" s="5"/>
      <c r="L60" s="5"/>
      <c r="M60" s="5"/>
      <c r="N60" s="5"/>
      <c r="O60" s="5"/>
      <c r="P60" s="5"/>
      <c r="Q60" s="5"/>
      <c r="R60" s="5"/>
      <c r="S60" s="5">
        <f t="shared" si="1"/>
        <v>20</v>
      </c>
      <c r="T60" s="12">
        <v>1</v>
      </c>
    </row>
    <row r="61" spans="1:20" ht="15.5" x14ac:dyDescent="0.3">
      <c r="A61" s="12">
        <v>53</v>
      </c>
      <c r="B61" s="11" t="s">
        <v>34</v>
      </c>
      <c r="C61" s="5">
        <f t="shared" si="2"/>
        <v>40</v>
      </c>
      <c r="D61" s="5" t="str">
        <f t="shared" si="0"/>
        <v>E</v>
      </c>
      <c r="E61" s="5"/>
      <c r="F61" s="5">
        <v>7</v>
      </c>
      <c r="G61" s="5">
        <v>7</v>
      </c>
      <c r="H61" s="5">
        <v>6</v>
      </c>
      <c r="I61" s="5">
        <v>4</v>
      </c>
      <c r="J61" s="5"/>
      <c r="K61" s="5"/>
      <c r="L61" s="5"/>
      <c r="M61" s="5"/>
      <c r="N61" s="5"/>
      <c r="O61" s="5"/>
      <c r="P61" s="5"/>
      <c r="Q61" s="5"/>
      <c r="R61" s="5"/>
      <c r="S61" s="5">
        <f t="shared" si="1"/>
        <v>24</v>
      </c>
      <c r="T61" s="12">
        <v>16</v>
      </c>
    </row>
    <row r="62" spans="1:20" ht="15.5" x14ac:dyDescent="0.3">
      <c r="A62" s="12">
        <v>54</v>
      </c>
      <c r="B62" s="11" t="s">
        <v>91</v>
      </c>
      <c r="C62" s="5">
        <f t="shared" si="2"/>
        <v>24</v>
      </c>
      <c r="D62" s="5" t="str">
        <f t="shared" si="0"/>
        <v>F</v>
      </c>
      <c r="E62" s="5"/>
      <c r="F62" s="5">
        <v>5</v>
      </c>
      <c r="G62" s="5">
        <v>4</v>
      </c>
      <c r="H62" s="5">
        <v>5</v>
      </c>
      <c r="I62" s="5">
        <v>4</v>
      </c>
      <c r="J62" s="5"/>
      <c r="K62" s="5"/>
      <c r="L62" s="5"/>
      <c r="M62" s="5"/>
      <c r="N62" s="5"/>
      <c r="O62" s="5"/>
      <c r="P62" s="5"/>
      <c r="Q62" s="5"/>
      <c r="R62" s="5"/>
      <c r="S62" s="5">
        <f t="shared" si="1"/>
        <v>18</v>
      </c>
      <c r="T62" s="12">
        <v>6</v>
      </c>
    </row>
    <row r="63" spans="1:20" ht="15.5" x14ac:dyDescent="0.3">
      <c r="A63" s="12">
        <v>55</v>
      </c>
      <c r="B63" s="11" t="s">
        <v>92</v>
      </c>
      <c r="C63" s="5">
        <f t="shared" si="2"/>
        <v>40</v>
      </c>
      <c r="D63" s="5" t="str">
        <f t="shared" si="0"/>
        <v>E</v>
      </c>
      <c r="E63" s="5"/>
      <c r="F63" s="5">
        <v>7</v>
      </c>
      <c r="G63" s="5">
        <v>7</v>
      </c>
      <c r="H63" s="5">
        <v>7</v>
      </c>
      <c r="I63" s="5">
        <v>7</v>
      </c>
      <c r="J63" s="5"/>
      <c r="K63" s="5"/>
      <c r="L63" s="5"/>
      <c r="M63" s="5"/>
      <c r="N63" s="5"/>
      <c r="O63" s="5"/>
      <c r="P63" s="5"/>
      <c r="Q63" s="5"/>
      <c r="R63" s="5"/>
      <c r="S63" s="5">
        <f t="shared" si="1"/>
        <v>28</v>
      </c>
      <c r="T63" s="12">
        <v>12</v>
      </c>
    </row>
    <row r="64" spans="1:20" ht="15.5" x14ac:dyDescent="0.3">
      <c r="A64" s="12">
        <v>56</v>
      </c>
      <c r="B64" s="11" t="s">
        <v>93</v>
      </c>
      <c r="C64" s="5">
        <f t="shared" si="2"/>
        <v>48</v>
      </c>
      <c r="D64" s="5" t="str">
        <f t="shared" si="0"/>
        <v>D</v>
      </c>
      <c r="E64" s="5"/>
      <c r="F64" s="5">
        <v>10</v>
      </c>
      <c r="G64" s="5">
        <v>10</v>
      </c>
      <c r="H64" s="5">
        <v>10</v>
      </c>
      <c r="I64" s="5">
        <v>10</v>
      </c>
      <c r="J64" s="5"/>
      <c r="K64" s="5"/>
      <c r="L64" s="5"/>
      <c r="M64" s="5"/>
      <c r="N64" s="5"/>
      <c r="O64" s="5"/>
      <c r="P64" s="5"/>
      <c r="Q64" s="5"/>
      <c r="R64" s="5"/>
      <c r="S64" s="5">
        <f t="shared" si="1"/>
        <v>40</v>
      </c>
      <c r="T64" s="12">
        <v>8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L4:M4"/>
    <mergeCell ref="A7:P7"/>
  </mergeCells>
  <conditionalFormatting sqref="S9:T64 F26:I26 F9:I18 C9:C64">
    <cfRule type="cellIs" dxfId="5" priority="6" operator="lessThan">
      <formula>0</formula>
    </cfRule>
  </conditionalFormatting>
  <conditionalFormatting sqref="F26:I26 F9:I18 S9:S64">
    <cfRule type="cellIs" dxfId="4" priority="5" operator="greaterThan">
      <formula>70</formula>
    </cfRule>
  </conditionalFormatting>
  <conditionalFormatting sqref="C9:C64">
    <cfRule type="cellIs" dxfId="3" priority="4" operator="greaterThan">
      <formula>100</formula>
    </cfRule>
  </conditionalFormatting>
  <conditionalFormatting sqref="T9:T64">
    <cfRule type="cellIs" dxfId="2" priority="3" operator="greaterThan">
      <formula>30</formula>
    </cfRule>
  </conditionalFormatting>
  <conditionalFormatting sqref="F19:I64">
    <cfRule type="cellIs" dxfId="1" priority="1" operator="greaterThan">
      <formula>70</formula>
    </cfRule>
    <cfRule type="cellIs" dxfId="0" priority="2" operator="lessThan">
      <formula>0</formula>
    </cfRule>
  </conditionalFormatting>
  <dataValidations count="1">
    <dataValidation type="whole" allowBlank="1" showDropDown="1" showInputMessage="1" showErrorMessage="1" errorTitle="Input error" error="Number is not allowed! Only numbers between 0 and 30 are allowed!!" promptTitle="Allowed input" prompt="Only numbers between 0 and 30 are allowed." sqref="T9:T64">
      <formula1>0</formula1>
      <formula2>30</formula2>
    </dataValidation>
  </dataValidations>
  <pageMargins left="0.7" right="0.7" top="0.75" bottom="0.75" header="0.3" footer="0.3"/>
  <pageSetup scale="8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 x14ac:dyDescent="0.3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LLA 304.1 2023 SET</vt:lpstr>
      <vt:lpstr>Sheet2</vt:lpstr>
      <vt:lpstr>Sheet3</vt:lpstr>
      <vt:lpstr>'LLA 304.1 2023 SET'!Print_Area</vt:lpstr>
      <vt:lpstr>Sheet2!Print_Area</vt:lpstr>
      <vt:lpstr>'LLA 304.1 2023 SET'!Print_Titles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USER</cp:lastModifiedBy>
  <cp:lastPrinted>2026-06-22T14:22:13Z</cp:lastPrinted>
  <dcterms:created xsi:type="dcterms:W3CDTF">2018-10-19T13:52:26Z</dcterms:created>
  <dcterms:modified xsi:type="dcterms:W3CDTF">2026-06-22T14:44:05Z</dcterms:modified>
  <cp:category/>
</cp:coreProperties>
</file>
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SC 401.1 Mark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<sst xmlns="http://schemas.openxmlformats.org/spreadsheetml/2006/main" uniqueCount="45">
  <si>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UNITY STATE UNIVERSITY</t>
  </si>
  <si>
    <t>COURSE EXAMINATION MARK SHEET</t>
  </si>
  <si>
    <t>DEPARTMENT:DEPARTMENT OF COMPUTER SCIENCE</t>
  </si>
  <si>
    <t>Program: FULL-TIME</t>
  </si>
  <si>
    <t>SESSION:2025/2026</t>
  </si>
  <si>
    <t>Summary:</t>
  </si>
  <si>
    <t>COURSE CODE: CSC 401.1</t>
  </si>
  <si>
    <t>D. TYPE: UNDER-GRADUATE</t>
  </si>
  <si>
    <t>GRADE</t>
  </si>
  <si>
    <t>A</t>
  </si>
  <si>
    <t>B</t>
  </si>
  <si>
    <t>C</t>
  </si>
  <si>
    <t>D</t>
  </si>
  <si>
    <t>E</t>
  </si>
  <si>
    <t>F</t>
  </si>
  <si>
    <t>TOTAL</t>
  </si>
  <si>
    <t>COURSE TITLE: Operating Systems</t>
  </si>
  <si>
    <t xml:space="preserve">Student Set: 2022 </t>
  </si>
  <si>
    <t>COUNT</t>
  </si>
  <si>
    <t>COURSE UNIT: 3</t>
  </si>
  <si>
    <t xml:space="preserve">Incomplete: </t>
  </si>
  <si>
    <t>% OF CLASS</t>
  </si>
  <si>
    <t>S/NO</t>
  </si>
  <si>
    <t>MAT NO</t>
  </si>
  <si>
    <t>TOTAL SCORE</t>
  </si>
  <si>
    <t>REMARKS</t>
  </si>
  <si>
    <t>Q1</t>
  </si>
  <si>
    <t>Q2</t>
  </si>
  <si>
    <t>Q3</t>
  </si>
  <si>
    <t>Q4</t>
  </si>
  <si>
    <t>Q5</t>
  </si>
  <si>
    <t>Q6</t>
  </si>
  <si>
    <t>Q7</t>
  </si>
  <si>
    <t>Penalty</t>
  </si>
  <si>
    <t>Moderation</t>
  </si>
  <si>
    <t>EXAM (70%)</t>
  </si>
  <si>
    <t>CA (30%)</t>
  </si>
  <si>
    <t>CSC/2022/0001</t>
  </si>
  <si>
    <t>CSC/2022/0002</t>
  </si>
  <si>
    <t>CSC/2022/0003</t>
  </si>
  <si>
    <t>CSC/2022/0004</t>
  </si>
  <si>
    <t>CSC/2022/0005</t>
  </si>
  <si>
    <t>CSC/2022/0006</t>
  </si>
  <si>
    <t>CSC/2022/0007</t>
  </si>
  <si>
    <t>CSC/2022/0008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</si>
</sst>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8"/>
  <sheetViews>
    <sheetView tabSelected="1" workbookViewId="0" showGridLines="true" showRowColHeaders="1">
      <selection activeCell="A8" sqref="A8:U8"/>
    </sheetView>
  </sheetViews>
  <sheetFormatPr defaultRowHeight="14.4" outlineLevelRow="0" outlineLevelCol="0"/>
  <cols>
    <col min="1" max="1" width="40.276" bestFit="true" customWidth="true" style="0"/>
    <col min="2" max="2" width="16.425" bestFit="true" customWidth="true" style="0"/>
    <col min="3" max="3" width="13.997" bestFit="true" customWidth="true" style="0"/>
    <col min="4" max="4" width="6.998" bestFit="true" customWidth="true" style="0"/>
    <col min="5" max="5" width="22.852" bestFit="true" customWidth="true" style="0"/>
    <col min="6" max="6" width="41.561" bestFit="true" customWidth="true" style="0"/>
    <col min="7" max="7" width="3.428" bestFit="true" customWidth="true" style="0"/>
    <col min="8" max="8" width="17.139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10.426" bestFit="true" customWidth="true" style="0"/>
    <col min="13" max="13" width="9.283" bestFit="true" customWidth="true" style="0"/>
    <col min="14" max="14" width="12.854" bestFit="true" customWidth="true" style="0"/>
    <col min="15" max="15" width="2.714" bestFit="true" customWidth="true" style="0"/>
    <col min="16" max="16" width="1.714" bestFit="true" customWidth="true" style="0"/>
    <col min="17" max="17" width="4.713" bestFit="true" customWidth="true" style="0"/>
    <col min="18" max="18" width="1.714" bestFit="true" customWidth="true" style="0"/>
    <col min="19" max="19" width="12.854" bestFit="true" customWidth="true" style="0"/>
    <col min="20" max="20" width="10.569" bestFit="true" customWidth="true" style="0"/>
    <col min="21" max="21" width="9.10" bestFit="true" style="0"/>
  </cols>
  <sheetData>
    <row r="1" spans="1:21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spans="1:21">
      <c r="A3" s="2" t="s">
        <v>2</v>
      </c>
      <c r="B3" s="2"/>
      <c r="C3" s="2"/>
      <c r="D3" s="2"/>
      <c r="E3" s="2" t="s">
        <v>3</v>
      </c>
      <c r="F3" s="2"/>
      <c r="G3" s="2"/>
      <c r="H3" s="2" t="s">
        <v>4</v>
      </c>
      <c r="I3" s="2"/>
      <c r="J3" s="2"/>
      <c r="K3" s="2"/>
      <c r="L3" s="2" t="s">
        <v>5</v>
      </c>
      <c r="M3" s="2"/>
      <c r="N3" s="2"/>
      <c r="O3" s="2"/>
      <c r="P3" s="2"/>
      <c r="Q3" s="2"/>
      <c r="R3" s="2"/>
      <c r="S3" s="2"/>
      <c r="T3" s="2"/>
      <c r="U3" s="2"/>
    </row>
    <row r="4" spans="1:21">
      <c r="A4" s="2" t="s">
        <v>6</v>
      </c>
      <c r="B4" s="2"/>
      <c r="C4" s="2"/>
      <c r="D4" s="2"/>
      <c r="E4" s="2" t="s">
        <v>7</v>
      </c>
      <c r="F4" s="2"/>
      <c r="G4" s="2"/>
      <c r="H4" s="2"/>
      <c r="I4" s="2"/>
      <c r="J4" s="2"/>
      <c r="K4" s="2"/>
      <c r="L4" s="2" t="s">
        <v>8</v>
      </c>
      <c r="M4" s="2"/>
      <c r="N4" s="2" t="s">
        <v>9</v>
      </c>
      <c r="O4" s="2" t="s">
        <v>10</v>
      </c>
      <c r="P4" s="2" t="s">
        <v>11</v>
      </c>
      <c r="Q4" s="2" t="s">
        <v>12</v>
      </c>
      <c r="R4" s="2" t="s">
        <v>13</v>
      </c>
      <c r="S4" s="2" t="s">
        <v>14</v>
      </c>
      <c r="T4" s="2" t="s">
        <v>15</v>
      </c>
      <c r="U4" s="2"/>
    </row>
    <row r="5" spans="1:21">
      <c r="A5" s="2" t="s">
        <v>16</v>
      </c>
      <c r="B5" s="2"/>
      <c r="C5" s="2"/>
      <c r="D5" s="2"/>
      <c r="E5" s="2" t="s">
        <v>17</v>
      </c>
      <c r="F5" s="2"/>
      <c r="G5" s="2"/>
      <c r="H5" s="2"/>
      <c r="I5" s="2"/>
      <c r="J5" s="2"/>
      <c r="K5" s="2"/>
      <c r="L5" s="2" t="s">
        <v>18</v>
      </c>
      <c r="M5" s="2"/>
      <c r="N5" s="2">
        <f>COUNTIF(D9:D28,"A")</f>
        <v>3</v>
      </c>
      <c r="O5" s="2">
        <f>COUNTIF(D9:D28,"B")</f>
        <v>2</v>
      </c>
      <c r="P5" s="2">
        <f>COUNTIF(D9:D28,"C")</f>
        <v>0</v>
      </c>
      <c r="Q5" s="2">
        <f>COUNTIF(D9:D28,"D")</f>
        <v>1</v>
      </c>
      <c r="R5" s="2">
        <f>COUNTIF(D9:D28,"E")</f>
        <v>0</v>
      </c>
      <c r="S5" s="2">
        <f>COUNTIF(D9:D28,"F")</f>
        <v>2</v>
      </c>
      <c r="T5" s="2">
        <f>SUM(N5:S5)</f>
        <v>8</v>
      </c>
      <c r="U5" s="2"/>
    </row>
    <row r="6" spans="1:21">
      <c r="A6" s="2" t="s">
        <v>19</v>
      </c>
      <c r="B6" s="2"/>
      <c r="C6" s="2"/>
      <c r="D6" s="2"/>
      <c r="E6" s="2" t="s">
        <v>20</v>
      </c>
      <c r="F6" s="2"/>
      <c r="G6" s="2"/>
      <c r="H6" s="2"/>
      <c r="I6" s="2"/>
      <c r="J6" s="2"/>
      <c r="K6" s="2"/>
      <c r="L6" s="2" t="s">
        <v>21</v>
      </c>
      <c r="M6" s="2"/>
      <c r="N6" s="2">
        <f>IF($T$5=0,0,ROUND(($N$5*100)/$T$5,2))</f>
        <v>37.5</v>
      </c>
      <c r="O6" s="2">
        <f>IF($T$5=0,0,ROUND(($O$5*100)/$T$5,2))</f>
        <v>25</v>
      </c>
      <c r="P6" s="2">
        <f>IF($T$5=0,0,ROUND(($P$5*100)/$T$5,2))</f>
        <v>0</v>
      </c>
      <c r="Q6" s="2">
        <f>IF($T$5=0,0,ROUND(($Q$5*100)/$T$5,2))</f>
        <v>12.5</v>
      </c>
      <c r="R6" s="2">
        <f>IF($T$5=0,0,ROUND(($R$5*100)/$T$5,2))</f>
        <v>0</v>
      </c>
      <c r="S6" s="2">
        <f>IF($T$5=0,0,ROUND(($S$5*100)/$T$5,2))</f>
        <v>25</v>
      </c>
      <c r="T6" s="2"/>
      <c r="U6" s="2"/>
    </row>
    <row r="8" spans="1:21">
      <c r="A8" s="3" t="s">
        <v>22</v>
      </c>
      <c r="B8" s="3" t="s">
        <v>23</v>
      </c>
      <c r="C8" s="3" t="s">
        <v>24</v>
      </c>
      <c r="D8" s="3" t="s">
        <v>8</v>
      </c>
      <c r="E8" s="3" t="s">
        <v>25</v>
      </c>
      <c r="F8" s="3" t="s">
        <v>26</v>
      </c>
      <c r="G8" s="3" t="s">
        <v>27</v>
      </c>
      <c r="H8" s="3" t="s">
        <v>28</v>
      </c>
      <c r="I8" s="3" t="s">
        <v>29</v>
      </c>
      <c r="J8" s="3" t="s">
        <v>30</v>
      </c>
      <c r="K8" s="3" t="s">
        <v>31</v>
      </c>
      <c r="L8" s="3" t="s">
        <v>32</v>
      </c>
      <c r="M8" s="3" t="s">
        <v>33</v>
      </c>
      <c r="N8" s="3" t="s">
        <v>34</v>
      </c>
      <c r="O8" s="3"/>
      <c r="P8" s="3"/>
      <c r="Q8" s="3"/>
      <c r="R8" s="3"/>
      <c r="S8" s="3" t="s">
        <v>35</v>
      </c>
      <c r="T8" s="3" t="s">
        <v>36</v>
      </c>
      <c r="U8" s="3"/>
    </row>
    <row r="9" spans="1:21">
      <c r="A9">
        <v>1</v>
      </c>
      <c r="B9" t="s">
        <v>37</v>
      </c>
      <c r="C9">
        <f>IF(TRIM(B9)&lt;&gt;"",S9+T9+N9-M9,"")</f>
        <v>67</v>
      </c>
      <c r="D9" t="str">
        <f>IF(TRIM(B9)="","",IF(C9&gt;=70,"A",IF(C9&gt;=60,"B",IF(C9&gt;=50,"C",IF(C9&gt;=45,"D",IF(C9&gt;=40,"E","F"))))))</f>
        <v>B</v>
      </c>
      <c r="F9">
        <v>18</v>
      </c>
      <c r="G9">
        <v>15</v>
      </c>
      <c r="H9">
        <v>12</v>
      </c>
      <c r="S9">
        <f>IF(TRIM(B9)&lt;&gt;"",SUM(F9:L9),"")</f>
        <v>45</v>
      </c>
      <c r="T9">
        <v>22</v>
      </c>
    </row>
    <row r="10" spans="1:21">
      <c r="A10">
        <v>2</v>
      </c>
      <c r="B10" t="s">
        <v>38</v>
      </c>
      <c r="C10">
        <f>IF(TRIM(B10)&lt;&gt;"",S10+T10+N10-M10,"")</f>
        <v>78</v>
      </c>
      <c r="D10" t="str">
        <f>IF(TRIM(B10)="","",IF(C10&gt;=70,"A",IF(C10&gt;=60,"B",IF(C10&gt;=50,"C",IF(C10&gt;=45,"D",IF(C10&gt;=40,"E","F"))))))</f>
        <v>A</v>
      </c>
      <c r="F10">
        <v>20</v>
      </c>
      <c r="G10">
        <v>18</v>
      </c>
      <c r="H10">
        <v>15</v>
      </c>
      <c r="S10">
        <f>IF(TRIM(B10)&lt;&gt;"",SUM(F10:L10),"")</f>
        <v>53</v>
      </c>
      <c r="T10">
        <v>25</v>
      </c>
    </row>
    <row r="11" spans="1:21">
      <c r="A11">
        <v>3</v>
      </c>
      <c r="B11" t="s">
        <v>39</v>
      </c>
      <c r="C11">
        <f>IF(TRIM(B11)&lt;&gt;"",S11+T11+N11-M11,"")</f>
        <v>47</v>
      </c>
      <c r="D11" t="str">
        <f>IF(TRIM(B11)="","",IF(C11&gt;=70,"A",IF(C11&gt;=60,"B",IF(C11&gt;=50,"C",IF(C11&gt;=45,"D",IF(C11&gt;=40,"E","F"))))))</f>
        <v>D</v>
      </c>
      <c r="F11">
        <v>12</v>
      </c>
      <c r="G11">
        <v>10</v>
      </c>
      <c r="H11">
        <v>8</v>
      </c>
      <c r="N11">
        <v>2</v>
      </c>
      <c r="S11">
        <f>IF(TRIM(B11)&lt;&gt;"",SUM(F11:L11),"")</f>
        <v>30</v>
      </c>
      <c r="T11">
        <v>15</v>
      </c>
    </row>
    <row r="12" spans="1:21">
      <c r="A12">
        <v>4</v>
      </c>
      <c r="B12" t="s">
        <v>40</v>
      </c>
      <c r="C12">
        <f>IF(TRIM(B12)&lt;&gt;"",S12+T12+N12-M12,"")</f>
        <v>36</v>
      </c>
      <c r="D12" t="str">
        <f>IF(TRIM(B12)="","",IF(C12&gt;=70,"A",IF(C12&gt;=60,"B",IF(C12&gt;=50,"C",IF(C12&gt;=45,"D",IF(C12&gt;=40,"E","F"))))))</f>
        <v>F</v>
      </c>
      <c r="F12">
        <v>8</v>
      </c>
      <c r="G12">
        <v>9</v>
      </c>
      <c r="H12">
        <v>7</v>
      </c>
      <c r="S12">
        <f>IF(TRIM(B12)&lt;&gt;"",SUM(F12:L12),"")</f>
        <v>24</v>
      </c>
      <c r="T12">
        <v>12</v>
      </c>
    </row>
    <row r="13" spans="1:21">
      <c r="A13">
        <v>5</v>
      </c>
      <c r="B13" t="s">
        <v>41</v>
      </c>
      <c r="C13">
        <f>IF(TRIM(B13)&lt;&gt;"",S13+T13+N13-M13,"")</f>
        <v>62</v>
      </c>
      <c r="D13" t="str">
        <f>IF(TRIM(B13)="","",IF(C13&gt;=70,"A",IF(C13&gt;=60,"B",IF(C13&gt;=50,"C",IF(C13&gt;=45,"D",IF(C13&gt;=40,"E","F"))))))</f>
        <v>B</v>
      </c>
      <c r="F13">
        <v>15</v>
      </c>
      <c r="G13">
        <v>14</v>
      </c>
      <c r="H13">
        <v>13</v>
      </c>
      <c r="S13">
        <f>IF(TRIM(B13)&lt;&gt;"",SUM(F13:L13),"")</f>
        <v>42</v>
      </c>
      <c r="T13">
        <v>20</v>
      </c>
    </row>
    <row r="14" spans="1:21">
      <c r="A14">
        <v>6</v>
      </c>
      <c r="B14" t="s">
        <v>42</v>
      </c>
      <c r="C14">
        <f>IF(TRIM(B14)&lt;&gt;"",S14+T14+N14-M14,"")</f>
        <v>87</v>
      </c>
      <c r="D14" t="str">
        <f>IF(TRIM(B14)="","",IF(C14&gt;=70,"A",IF(C14&gt;=60,"B",IF(C14&gt;=50,"C",IF(C14&gt;=45,"D",IF(C14&gt;=40,"E","F"))))))</f>
        <v>A</v>
      </c>
      <c r="F14">
        <v>22</v>
      </c>
      <c r="G14">
        <v>20</v>
      </c>
      <c r="H14">
        <v>18</v>
      </c>
      <c r="S14">
        <f>IF(TRIM(B14)&lt;&gt;"",SUM(F14:L14),"")</f>
        <v>60</v>
      </c>
      <c r="T14">
        <v>27</v>
      </c>
    </row>
    <row r="15" spans="1:21">
      <c r="A15">
        <v>7</v>
      </c>
      <c r="B15" t="s">
        <v>43</v>
      </c>
      <c r="C15">
        <f>IF(TRIM(B15)&lt;&gt;"",S15+T15+N15-M15,"")</f>
        <v>38</v>
      </c>
      <c r="D15" t="str">
        <f>IF(TRIM(B15)="","",IF(C15&gt;=70,"A",IF(C15&gt;=60,"B",IF(C15&gt;=50,"C",IF(C15&gt;=45,"D",IF(C15&gt;=40,"E","F"))))))</f>
        <v>F</v>
      </c>
      <c r="F15">
        <v>10</v>
      </c>
      <c r="G15">
        <v>8</v>
      </c>
      <c r="H15">
        <v>6</v>
      </c>
      <c r="S15">
        <f>IF(TRIM(B15)&lt;&gt;"",SUM(F15:L15),"")</f>
        <v>24</v>
      </c>
      <c r="T15">
        <v>14</v>
      </c>
    </row>
    <row r="16" spans="1:21">
      <c r="A16">
        <v>8</v>
      </c>
      <c r="B16" t="s">
        <v>44</v>
      </c>
      <c r="C16">
        <f>IF(TRIM(B16)&lt;&gt;"",S16+T16+N16-M16,"")</f>
        <v>71</v>
      </c>
      <c r="D16" t="str">
        <f>IF(TRIM(B16)="","",IF(C16&gt;=70,"A",IF(C16&gt;=60,"B",IF(C16&gt;=50,"C",IF(C16&gt;=45,"D",IF(C16&gt;=40,"E","F"))))))</f>
        <v>A</v>
      </c>
      <c r="F16">
        <v>17</v>
      </c>
      <c r="G16">
        <v>16</v>
      </c>
      <c r="H16">
        <v>15</v>
      </c>
      <c r="S16">
        <f>IF(TRIM(B16)&lt;&gt;"",SUM(F16:L16),"")</f>
        <v>48</v>
      </c>
      <c r="T16">
        <v>23</v>
      </c>
    </row>
    <row r="17" spans="1:21">
      <c r="A17">
        <v>9</v>
      </c>
      <c r="C17" t="str">
        <f>IF(TRIM(B17)&lt;&gt;"",S17+T17+N17-M17,"")</f>
        <v/>
      </c>
      <c r="D17" t="str">
        <f>IF(TRIM(B17)="","",IF(C17&gt;=70,"A",IF(C17&gt;=60,"B",IF(C17&gt;=50,"C",IF(C17&gt;=45,"D",IF(C17&gt;=40,"E","F"))))))</f>
        <v/>
      </c>
      <c r="S17" t="str">
        <f>IF(TRIM(B17)&lt;&gt;"",SUM(F17:L17),"")</f>
        <v/>
      </c>
    </row>
    <row r="18" spans="1:21">
      <c r="A18">
        <v>10</v>
      </c>
      <c r="C18" t="str">
        <f>IF(TRIM(B18)&lt;&gt;"",S18+T18+N18-M18,"")</f>
        <v/>
      </c>
      <c r="D18" t="str">
        <f>IF(TRIM(B18)="","",IF(C18&gt;=70,"A",IF(C18&gt;=60,"B",IF(C18&gt;=50,"C",IF(C18&gt;=45,"D",IF(C18&gt;=40,"E","F"))))))</f>
        <v/>
      </c>
      <c r="S18" t="str">
        <f>IF(TRIM(B18)&lt;&gt;"",SUM(F18:L18),"")</f>
        <v/>
      </c>
    </row>
    <row r="19" spans="1:21">
      <c r="A19">
        <v>11</v>
      </c>
      <c r="C19" t="str">
        <f>IF(TRIM(B19)&lt;&gt;"",S19+T19+N19-M19,"")</f>
        <v/>
      </c>
      <c r="D19" t="str">
        <f>IF(TRIM(B19)="","",IF(C19&gt;=70,"A",IF(C19&gt;=60,"B",IF(C19&gt;=50,"C",IF(C19&gt;=45,"D",IF(C19&gt;=40,"E","F"))))))</f>
        <v/>
      </c>
      <c r="S19" t="str">
        <f>IF(TRIM(B19)&lt;&gt;"",SUM(F19:L19),"")</f>
        <v/>
      </c>
    </row>
    <row r="20" spans="1:21">
      <c r="A20">
        <v>12</v>
      </c>
      <c r="C20" t="str">
        <f>IF(TRIM(B20)&lt;&gt;"",S20+T20+N20-M20,"")</f>
        <v/>
      </c>
      <c r="D20" t="str">
        <f>IF(TRIM(B20)="","",IF(C20&gt;=70,"A",IF(C20&gt;=60,"B",IF(C20&gt;=50,"C",IF(C20&gt;=45,"D",IF(C20&gt;=40,"E","F"))))))</f>
        <v/>
      </c>
      <c r="S20" t="str">
        <f>IF(TRIM(B20)&lt;&gt;"",SUM(F20:L20),"")</f>
        <v/>
      </c>
    </row>
    <row r="21" spans="1:21">
      <c r="A21">
        <v>13</v>
      </c>
      <c r="C21" t="str">
        <f>IF(TRIM(B21)&lt;&gt;"",S21+T21+N21-M21,"")</f>
        <v/>
      </c>
      <c r="D21" t="str">
        <f>IF(TRIM(B21)="","",IF(C21&gt;=70,"A",IF(C21&gt;=60,"B",IF(C21&gt;=50,"C",IF(C21&gt;=45,"D",IF(C21&gt;=40,"E","F"))))))</f>
        <v/>
      </c>
      <c r="S21" t="str">
        <f>IF(TRIM(B21)&lt;&gt;"",SUM(F21:L21),"")</f>
        <v/>
      </c>
    </row>
    <row r="22" spans="1:21">
      <c r="A22">
        <v>14</v>
      </c>
      <c r="C22" t="str">
        <f>IF(TRIM(B22)&lt;&gt;"",S22+T22+N22-M22,"")</f>
        <v/>
      </c>
      <c r="D22" t="str">
        <f>IF(TRIM(B22)="","",IF(C22&gt;=70,"A",IF(C22&gt;=60,"B",IF(C22&gt;=50,"C",IF(C22&gt;=45,"D",IF(C22&gt;=40,"E","F"))))))</f>
        <v/>
      </c>
      <c r="S22" t="str">
        <f>IF(TRIM(B22)&lt;&gt;"",SUM(F22:L22),"")</f>
        <v/>
      </c>
    </row>
    <row r="23" spans="1:21">
      <c r="A23">
        <v>15</v>
      </c>
      <c r="C23" t="str">
        <f>IF(TRIM(B23)&lt;&gt;"",S23+T23+N23-M23,"")</f>
        <v/>
      </c>
      <c r="D23" t="str">
        <f>IF(TRIM(B23)="","",IF(C23&gt;=70,"A",IF(C23&gt;=60,"B",IF(C23&gt;=50,"C",IF(C23&gt;=45,"D",IF(C23&gt;=40,"E","F"))))))</f>
        <v/>
      </c>
      <c r="S23" t="str">
        <f>IF(TRIM(B23)&lt;&gt;"",SUM(F23:L23),"")</f>
        <v/>
      </c>
    </row>
    <row r="24" spans="1:21">
      <c r="A24">
        <v>16</v>
      </c>
      <c r="C24" t="str">
        <f>IF(TRIM(B24)&lt;&gt;"",S24+T24+N24-M24,"")</f>
        <v/>
      </c>
      <c r="D24" t="str">
        <f>IF(TRIM(B24)="","",IF(C24&gt;=70,"A",IF(C24&gt;=60,"B",IF(C24&gt;=50,"C",IF(C24&gt;=45,"D",IF(C24&gt;=40,"E","F"))))))</f>
        <v/>
      </c>
      <c r="S24" t="str">
        <f>IF(TRIM(B24)&lt;&gt;"",SUM(F24:L24),"")</f>
        <v/>
      </c>
    </row>
    <row r="25" spans="1:21">
      <c r="A25">
        <v>17</v>
      </c>
      <c r="C25" t="str">
        <f>IF(TRIM(B25)&lt;&gt;"",S25+T25+N25-M25,"")</f>
        <v/>
      </c>
      <c r="D25" t="str">
        <f>IF(TRIM(B25)="","",IF(C25&gt;=70,"A",IF(C25&gt;=60,"B",IF(C25&gt;=50,"C",IF(C25&gt;=45,"D",IF(C25&gt;=40,"E","F"))))))</f>
        <v/>
      </c>
      <c r="S25" t="str">
        <f>IF(TRIM(B25)&lt;&gt;"",SUM(F25:L25),"")</f>
        <v/>
      </c>
    </row>
    <row r="26" spans="1:21">
      <c r="A26">
        <v>18</v>
      </c>
      <c r="C26" t="str">
        <f>IF(TRIM(B26)&lt;&gt;"",S26+T26+N26-M26,"")</f>
        <v/>
      </c>
      <c r="D26" t="str">
        <f>IF(TRIM(B26)="","",IF(C26&gt;=70,"A",IF(C26&gt;=60,"B",IF(C26&gt;=50,"C",IF(C26&gt;=45,"D",IF(C26&gt;=40,"E","F"))))))</f>
        <v/>
      </c>
      <c r="S26" t="str">
        <f>IF(TRIM(B26)&lt;&gt;"",SUM(F26:L26),"")</f>
        <v/>
      </c>
    </row>
    <row r="27" spans="1:21">
      <c r="A27">
        <v>19</v>
      </c>
      <c r="C27" t="str">
        <f>IF(TRIM(B27)&lt;&gt;"",S27+T27+N27-M27,"")</f>
        <v/>
      </c>
      <c r="D27" t="str">
        <f>IF(TRIM(B27)="","",IF(C27&gt;=70,"A",IF(C27&gt;=60,"B",IF(C27&gt;=50,"C",IF(C27&gt;=45,"D",IF(C27&gt;=40,"E","F"))))))</f>
        <v/>
      </c>
      <c r="S27" t="str">
        <f>IF(TRIM(B27)&lt;&gt;"",SUM(F27:L27),"")</f>
        <v/>
      </c>
    </row>
    <row r="28" spans="1:21">
      <c r="A28">
        <v>20</v>
      </c>
      <c r="C28" t="str">
        <f>IF(TRIM(B28)&lt;&gt;"",S28+T28+N28-M28,"")</f>
        <v/>
      </c>
      <c r="D28" t="str">
        <f>IF(TRIM(B28)="","",IF(C28&gt;=70,"A",IF(C28&gt;=60,"B",IF(C28&gt;=50,"C",IF(C28&gt;=45,"D",IF(C28&gt;=40,"E","F"))))))</f>
        <v/>
      </c>
      <c r="S28" t="str">
        <f>IF(TRIM(B28)&lt;&gt;"",SUM(F28:L28),"")</f>
        <v/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CSC 401.1 Mark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2026-07-18T11:30:20+00:00</dcterms:created>
  <dcterms:modified xsi:type="dcterms:W3CDTF">2026-07-18T11:30:20+00:00</dcterms:modified>
  <dc:title>Untitled Spreadsheet</dc:title>
  <dc:description/>
  <dc:subject/>
  <cp:keywords/>
  <cp:category/>
</cp:coreProperties>
</file>